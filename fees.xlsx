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OneDrive\Desktop\DA PROJECT\New Insurance Project\Dataset\"/>
    </mc:Choice>
  </mc:AlternateContent>
  <xr:revisionPtr revIDLastSave="0" documentId="13_ncr:1_{54AB3DBA-64DC-4813-A075-6603863E66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es_202001231041" sheetId="1" r:id="rId1"/>
  </sheets>
  <definedNames>
    <definedName name="_xlnm._FilterDatabase" localSheetId="0" hidden="1">fees_202001231041!$A$1:$I$10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2" i="1"/>
</calcChain>
</file>

<file path=xl/sharedStrings.xml><?xml version="1.0" encoding="utf-8"?>
<sst xmlns="http://schemas.openxmlformats.org/spreadsheetml/2006/main" count="66" uniqueCount="32">
  <si>
    <t>client_name</t>
  </si>
  <si>
    <t>branch_name</t>
  </si>
  <si>
    <t>solution_group</t>
  </si>
  <si>
    <t>income_class</t>
  </si>
  <si>
    <t>income_due_date</t>
  </si>
  <si>
    <t>revenue_transaction_type</t>
  </si>
  <si>
    <t>Fees</t>
  </si>
  <si>
    <t>Ahmedabad</t>
  </si>
  <si>
    <t>Construction, Power &amp; Infrastructure</t>
  </si>
  <si>
    <t>Nishant Sharma</t>
  </si>
  <si>
    <t>Liability</t>
  </si>
  <si>
    <t>Renewal</t>
  </si>
  <si>
    <t>New</t>
  </si>
  <si>
    <t>Cross Sell</t>
  </si>
  <si>
    <t>Amount</t>
  </si>
  <si>
    <t>Account Executive</t>
  </si>
  <si>
    <t>GL Client Network (GNB Inward)</t>
  </si>
  <si>
    <t>Vinay</t>
  </si>
  <si>
    <t>Abhinav Shivam</t>
  </si>
  <si>
    <t>Account Exe ID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</si>
  <si>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</si>
  <si>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</si>
  <si>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</si>
  <si>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</si>
  <si>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</si>
  <si>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</si>
  <si>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</si>
  <si>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</si>
  <si>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</si>
  <si>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Fees Cross</t>
  </si>
  <si>
    <t>Fees New</t>
  </si>
  <si>
    <t>Fees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</si>
</sst>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B1" workbookViewId="0">
      <selection activeCell="L3" sqref="L3"/>
    </sheetView>
  </sheetViews>
  <sheetFormatPr defaultColWidth="8.7109375" defaultRowHeight="15" x14ac:dyDescent="0.25"/>
  <cols>
    <col min="1" max="1" width="26.7109375" customWidth="1"/>
    <col min="2" max="2" width="14.5703125" customWidth="1"/>
    <col min="3" max="3" width="33.42578125" customWidth="1"/>
    <col min="4" max="4" width="14.7109375" customWidth="1"/>
    <col min="5" max="5" width="19.7109375" customWidth="1"/>
    <col min="6" max="6" width="14.85546875" customWidth="1"/>
    <col min="8" max="8" width="19.42578125" bestFit="1" customWidth="1"/>
    <col min="9" max="9" width="24.28515625" customWidth="1"/>
  </cols>
  <sheetData>
    <row r="1" spans="1:12" s="2" customFormat="1" x14ac:dyDescent="0.2">
      <c r="A1" s="3" t="s">
        <v>0</v>
      </c>
      <c r="B1" s="3" t="s">
        <v>1</v>
      </c>
      <c r="C1" s="3" t="s">
        <v>2</v>
      </c>
      <c r="D1" s="3" t="s">
        <v>19</v>
      </c>
      <c r="E1" s="3" t="s">
        <v>15</v>
      </c>
      <c r="F1" s="3" t="s">
        <v>3</v>
      </c>
      <c r="G1" s="3" t="s">
        <v>14</v>
      </c>
      <c r="H1" s="3" t="s">
        <v>4</v>
      </c>
      <c r="I1" s="3" t="s">
        <v>5</v>
      </c>
      <c r="J1" s="2" t="s">
        <v>29</v>
      </c>
      <c r="K1" s="2" t="s">
        <v>30</v>
      </c>
      <c r="L1" s="2" t="s">
        <v>31</v>
      </c>
    </row>
    <row r="2" spans="1:12" x14ac:dyDescent="0.25">
      <c r="A2" t="s">
        <v>20</v>
      </c>
      <c r="B2" t="s">
        <v>7</v>
      </c>
      <c r="C2" t="s">
        <v>8</v>
      </c>
      <c r="D2">
        <v>3</v>
      </c>
      <c r="E2" t="s">
        <v>9</v>
      </c>
      <c r="F2" t="s">
        <v>13</v>
      </c>
      <c r="G2">
        <v>139240</v>
      </c>
      <c r="H2" s="1">
        <v>43663</v>
      </c>
      <c r="I2" t="s">
        <v>6</v>
      </c>
      <c r="J2">
        <f ca="1">SUMIF(F1:G10,"Cross Sell",G1:G10)</f>
        <v>396480</v>
      </c>
      <c r="K2">
        <f ca="1">SUMIF(F1:G10,"New",G1:G10)</f>
        <v>100000</v>
      </c>
      <c r="L2">
        <f ca="1">SUMIF(F1:G10,"Renewal",G1:G10)</f>
        <v>18051</v>
      </c>
    </row>
    <row r="3" spans="1:12" x14ac:dyDescent="0.25">
      <c r="A3" t="s">
        <v>21</v>
      </c>
      <c r="B3" t="s">
        <v>7</v>
      </c>
      <c r="C3" t="s">
        <v>8</v>
      </c>
      <c r="D3">
        <v>3</v>
      </c>
      <c r="E3" t="s">
        <v>9</v>
      </c>
      <c r="F3" t="s">
        <v>13</v>
      </c>
      <c r="G3">
        <v>139240</v>
      </c>
      <c r="H3" s="1">
        <v>43486</v>
      </c>
      <c r="I3" t="s">
        <v>6</v>
      </c>
    </row>
    <row r="4" spans="1:12" x14ac:dyDescent="0.25">
      <c r="A4" t="s">
        <v>22</v>
      </c>
      <c r="B4" t="s">
        <v>7</v>
      </c>
      <c r="C4" t="s">
        <v>16</v>
      </c>
      <c r="D4">
        <v>1</v>
      </c>
      <c r="E4" t="s">
        <v>17</v>
      </c>
      <c r="F4" t="s">
        <v>11</v>
      </c>
      <c r="G4">
        <v>2200</v>
      </c>
      <c r="H4" s="1">
        <v>43819</v>
      </c>
      <c r="I4" t="s">
        <v>6</v>
      </c>
    </row>
    <row r="5" spans="1:12" x14ac:dyDescent="0.25">
      <c r="A5" t="s">
        <v>23</v>
      </c>
      <c r="B5" t="s">
        <v>7</v>
      </c>
      <c r="C5" t="s">
        <v>16</v>
      </c>
      <c r="D5">
        <v>1</v>
      </c>
      <c r="E5" t="s">
        <v>17</v>
      </c>
      <c r="F5" t="s">
        <v>11</v>
      </c>
      <c r="G5">
        <v>4500</v>
      </c>
      <c r="H5" s="1">
        <v>43490</v>
      </c>
      <c r="I5" t="s">
        <v>6</v>
      </c>
    </row>
    <row r="6" spans="1:12" x14ac:dyDescent="0.25">
      <c r="A6" t="s">
        <v>24</v>
      </c>
      <c r="B6" t="s">
        <v>7</v>
      </c>
      <c r="C6" t="s">
        <v>8</v>
      </c>
      <c r="D6">
        <v>3</v>
      </c>
      <c r="E6" t="s">
        <v>9</v>
      </c>
      <c r="F6" t="s">
        <v>13</v>
      </c>
      <c r="G6">
        <v>118000</v>
      </c>
      <c r="H6" s="1">
        <v>43539</v>
      </c>
      <c r="I6" t="s">
        <v>6</v>
      </c>
    </row>
    <row r="7" spans="1:12" x14ac:dyDescent="0.25">
      <c r="A7" t="s">
        <v>25</v>
      </c>
      <c r="B7" t="s">
        <v>7</v>
      </c>
      <c r="C7" t="s">
        <v>16</v>
      </c>
      <c r="D7">
        <v>1</v>
      </c>
      <c r="E7" t="s">
        <v>17</v>
      </c>
      <c r="F7" t="s">
        <v>11</v>
      </c>
      <c r="G7">
        <v>2800</v>
      </c>
      <c r="H7" s="1">
        <v>43613</v>
      </c>
      <c r="I7" t="s">
        <v>6</v>
      </c>
    </row>
    <row r="8" spans="1:12" x14ac:dyDescent="0.25">
      <c r="A8" t="s">
        <v>26</v>
      </c>
      <c r="B8" t="s">
        <v>7</v>
      </c>
      <c r="C8" t="s">
        <v>16</v>
      </c>
      <c r="D8">
        <v>1</v>
      </c>
      <c r="E8" t="s">
        <v>17</v>
      </c>
      <c r="F8" t="s">
        <v>11</v>
      </c>
      <c r="G8">
        <v>3241</v>
      </c>
      <c r="H8" s="1">
        <v>43490</v>
      </c>
      <c r="I8" t="s">
        <v>6</v>
      </c>
    </row>
    <row r="9" spans="1:12" x14ac:dyDescent="0.25">
      <c r="A9" t="s">
        <v>27</v>
      </c>
      <c r="B9" t="s">
        <v>7</v>
      </c>
      <c r="C9" t="s">
        <v>10</v>
      </c>
      <c r="D9">
        <v>2</v>
      </c>
      <c r="E9" t="s">
        <v>18</v>
      </c>
      <c r="F9" t="s">
        <v>12</v>
      </c>
      <c r="G9">
        <v>100000</v>
      </c>
      <c r="H9" s="1">
        <v>43565</v>
      </c>
      <c r="I9" t="s">
        <v>6</v>
      </c>
    </row>
    <row r="10" spans="1:12" x14ac:dyDescent="0.25">
      <c r="A10" t="s">
        <v>28</v>
      </c>
      <c r="B10" t="s">
        <v>7</v>
      </c>
      <c r="C10" t="s">
        <v>16</v>
      </c>
      <c r="D10">
        <v>1</v>
      </c>
      <c r="E10" t="s">
        <v>17</v>
      </c>
      <c r="F10" t="s">
        <v>11</v>
      </c>
      <c r="G10">
        <v>5310</v>
      </c>
      <c r="H10" s="1">
        <v>43805</v>
      </c>
      <c r="I10" t="s">
        <v>6</v>
      </c>
    </row>
  </sheetData>
  <autoFilter ref="A1:I10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Cheulkar</dc:creator>
  <cp:lastModifiedBy>Ayushman Agarwal</cp:lastModifiedBy>
  <dcterms:created xsi:type="dcterms:W3CDTF">2020-02-11T13:11:48Z</dcterms:created>
  <dcterms:modified xsi:type="dcterms:W3CDTF">2025-03-11T06:44:48Z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2023-12-18T08:28:39Z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b95e1a2b-b849-48cd-bc94-8598c0b2452a</vt:lpwstr>
  </property>
  <property fmtid="{D5CDD505-2E9C-101B-9397-08002B2CF9AE}" pid="8" name="MSIP_Label_defa4170-0d19-0005-0004-bc88714345d2_ContentBits">
    <vt:lpwstr>0</vt:lpwstr>
  </property>
</Properties>
</file>