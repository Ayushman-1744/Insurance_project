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DELL\Desktop\insurance\"/>
    </mc:Choice>
  </mc:AlternateContent>
  <xr:revisionPtr revIDLastSave="0" documentId="13_ncr:1_{55D1BABB-D243-43C6-A4B1-5CC1ECDE6B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oice_202001231041" sheetId="2" r:id="rId1"/>
  </sheets>
  <definedNames>
    <definedName name="ExternalData_1" localSheetId="0" hidden="1">invoice_202001231041!$A$1:$O$205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2" l="1"/>
  <c r="N2" i="2"/>
  <c r="M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F87808-25AC-4FEE-8840-221D51491959}" keepAlive="1" name="Query - invoice_202001231041" description="Connection to the 'invoice_202001231041' query in the workbook." type="5" refreshedVersion="8" background="1" saveData="1">
    <dbPr connection="Provider=Microsoft.Mashup.OleDb.1;Data Source=$Workbook$;Location=invoice_202001231041;Extended Properties=&quot;&quot;" command="SELECT * FROM [invoice_202001231041]"/>
  </connection>
</connections>
</file>

<file path=xl/sharedStrings.xml><?xml version="1.0" encoding="utf-8"?>
<sst xmlns="http://schemas.openxmlformats.org/spreadsheetml/2006/main" count="1370" uniqueCount="347">
  <si>
    <t>invoice_number</t>
  </si>
  <si>
    <t>invoice_date</t>
  </si>
  <si>
    <t>revenue_transaction_type</t>
  </si>
  <si>
    <t>branch_name</t>
  </si>
  <si>
    <t>solution_group</t>
  </si>
  <si>
    <t>Account Exe ID</t>
  </si>
  <si>
    <t>Account Executive</t>
  </si>
  <si>
    <t>income_class</t>
  </si>
  <si>
    <t>Amount</t>
  </si>
  <si>
    <t>Client Name</t>
  </si>
  <si>
    <t>policy_number</t>
  </si>
  <si>
    <t>income_due_date</t>
  </si>
  <si>
    <t>Invoice Cross</t>
  </si>
  <si>
    <t>Invoice New</t>
  </si>
  <si>
    <t>Invoice Renewal</t>
  </si>
  <si>
    <t>Fees</t>
  </si>
  <si>
    <t>Ahmedabad</t>
  </si>
  <si>
    <t>Liability</t>
  </si>
  <si>
    <t>Mark</t>
  </si>
  <si>
    <t>New</t>
  </si>
  <si>
    <t>Sanjay Trivedi</t>
  </si>
  <si>
    <t>Brokerage</t>
  </si>
  <si>
    <t>Global Client Network (GNB Inward)</t>
  </si>
  <si>
    <t>Gilbert</t>
  </si>
  <si>
    <t>Renewal</t>
  </si>
  <si>
    <t>Anita Sethi</t>
  </si>
  <si>
    <t>Ashok Chatterjee</t>
  </si>
  <si>
    <t>OG-19-2202-1018-00000060</t>
  </si>
  <si>
    <t>Vinay</t>
  </si>
  <si>
    <t>Cross Sell</t>
  </si>
  <si>
    <t>Rani Agarwal</t>
  </si>
  <si>
    <t>OG-19-2202-3383-00000010</t>
  </si>
  <si>
    <t>Arjun Rao</t>
  </si>
  <si>
    <t>020P000098803000</t>
  </si>
  <si>
    <t>Employee Benefits (EB)</t>
  </si>
  <si>
    <t>Juli</t>
  </si>
  <si>
    <t>Anil Naik</t>
  </si>
  <si>
    <t>Simran Trivedi</t>
  </si>
  <si>
    <t>OG-19-2202-3383-00000009</t>
  </si>
  <si>
    <t>Dhruv Chopra</t>
  </si>
  <si>
    <t>OG-19-2202-3383-00000008</t>
  </si>
  <si>
    <t>Jaya Chopra</t>
  </si>
  <si>
    <t>Ketan Jain</t>
  </si>
  <si>
    <t>Kiran Goyal</t>
  </si>
  <si>
    <t>H0048996</t>
  </si>
  <si>
    <t>Vidit Shah</t>
  </si>
  <si>
    <t>Pravin Sengupta</t>
  </si>
  <si>
    <t>'001P000202300000</t>
  </si>
  <si>
    <t>Snehal Das</t>
  </si>
  <si>
    <t>'001P000203500000</t>
  </si>
  <si>
    <t>Rajesh Malhotra</t>
  </si>
  <si>
    <t>Archana Bhatia</t>
  </si>
  <si>
    <t>Abhinav Shivam</t>
  </si>
  <si>
    <t>Ashok Reddy</t>
  </si>
  <si>
    <t>2999202758217600000"</t>
  </si>
  <si>
    <t>Construction, Power &amp; Infrastructure</t>
  </si>
  <si>
    <t>Animesh Rawat</t>
  </si>
  <si>
    <t>Madhuri Bhatia</t>
  </si>
  <si>
    <t>Pranav Mishra</t>
  </si>
  <si>
    <t>Rina Goyal</t>
  </si>
  <si>
    <t>Geeta Gupta</t>
  </si>
  <si>
    <t>OG-19-2202-1002-00001981</t>
  </si>
  <si>
    <t>Sudhir Roy</t>
  </si>
  <si>
    <t>OG-19-2202-1002-00001901</t>
  </si>
  <si>
    <t>Rani Kaul</t>
  </si>
  <si>
    <t>Kavita Sharma</t>
  </si>
  <si>
    <t>H0056637</t>
  </si>
  <si>
    <t>Marine</t>
  </si>
  <si>
    <t>Shikha Sethi</t>
  </si>
  <si>
    <t>'99000021180100000013</t>
  </si>
  <si>
    <t>Amit Bhargava</t>
  </si>
  <si>
    <t>P0019200001/9999/100301</t>
  </si>
  <si>
    <t>Alka Goel</t>
  </si>
  <si>
    <t>0000000008502066-01</t>
  </si>
  <si>
    <t>Harish Sharma</t>
  </si>
  <si>
    <t>Gaurav Goel</t>
  </si>
  <si>
    <t>Ravi Naik</t>
  </si>
  <si>
    <t>OG-19-2202-4010-00002245</t>
  </si>
  <si>
    <t>Kamlesh Prasad</t>
  </si>
  <si>
    <t>OG-19-2202-1018-00000059</t>
  </si>
  <si>
    <t>Nikhil Verma</t>
  </si>
  <si>
    <t>Vaishali Desai</t>
  </si>
  <si>
    <t>505373-01</t>
  </si>
  <si>
    <t>Atul Naik</t>
  </si>
  <si>
    <t>H0067187</t>
  </si>
  <si>
    <t>Meena Bhargava</t>
  </si>
  <si>
    <t>Mona Chopra</t>
  </si>
  <si>
    <t>Mohit Tiwari</t>
  </si>
  <si>
    <t>'99000044190700000001</t>
  </si>
  <si>
    <t>Tina Dutta</t>
  </si>
  <si>
    <t>100200080123/01/00</t>
  </si>
  <si>
    <t>Hemant Das</t>
  </si>
  <si>
    <t>OG-19-2202-1018-00000054</t>
  </si>
  <si>
    <t>Sanjana Bhargava</t>
  </si>
  <si>
    <t>OG-19-2202-1018-00000053</t>
  </si>
  <si>
    <t>Kamlesh Trivedi</t>
  </si>
  <si>
    <t>OG-19-2202-4001-00011127</t>
  </si>
  <si>
    <t>Nikita Tiwari</t>
  </si>
  <si>
    <t>237164239 00</t>
  </si>
  <si>
    <t>Kapil Kapoor</t>
  </si>
  <si>
    <t>Harish Rana</t>
  </si>
  <si>
    <t>Nikhil Pandit</t>
  </si>
  <si>
    <t>2304001082-01</t>
  </si>
  <si>
    <t>Vivek Rana</t>
  </si>
  <si>
    <t>Hemant Nair</t>
  </si>
  <si>
    <t>0600010004 01</t>
  </si>
  <si>
    <t>Veena Bhargava</t>
  </si>
  <si>
    <t>0000000008907502-01</t>
  </si>
  <si>
    <t>Trade Credit &amp;amp; Political Risk</t>
  </si>
  <si>
    <t>Shivam Shah</t>
  </si>
  <si>
    <t>Bhavna Bhandari</t>
  </si>
  <si>
    <t>Tarun Shah</t>
  </si>
  <si>
    <t>Hemant Chauhan</t>
  </si>
  <si>
    <t>Geeta Verma</t>
  </si>
  <si>
    <t>Property / BI</t>
  </si>
  <si>
    <t>Ashok Patel</t>
  </si>
  <si>
    <t>'99000046192400000001</t>
  </si>
  <si>
    <t>Gayatri Reddy</t>
  </si>
  <si>
    <t>'99000011180100000303</t>
  </si>
  <si>
    <t>Snehal Patel</t>
  </si>
  <si>
    <t>OG-19-2202-1018-00000055</t>
  </si>
  <si>
    <t>Vivek Yadav</t>
  </si>
  <si>
    <t>0640002231 04</t>
  </si>
  <si>
    <t>Kiran Saxena</t>
  </si>
  <si>
    <t>Uday Reddy</t>
  </si>
  <si>
    <t>0301004265-1</t>
  </si>
  <si>
    <t>Anita Pandit</t>
  </si>
  <si>
    <t>0600010004 02</t>
  </si>
  <si>
    <t>Hina Malhotra</t>
  </si>
  <si>
    <t>'99000044190300000004</t>
  </si>
  <si>
    <t>Alka Patel</t>
  </si>
  <si>
    <t>'99000044180700000012</t>
  </si>
  <si>
    <t>Shruti Roy</t>
  </si>
  <si>
    <t>'99000011180100000340</t>
  </si>
  <si>
    <t>Archana Singh</t>
  </si>
  <si>
    <t>'99000044185800000014</t>
  </si>
  <si>
    <t>Mukul Goyal</t>
  </si>
  <si>
    <t>4092/151965577/01/000</t>
  </si>
  <si>
    <t>Namita Bajaj</t>
  </si>
  <si>
    <t>5002/131802941/02/000</t>
  </si>
  <si>
    <t>Nikita Joshi</t>
  </si>
  <si>
    <t>Tejas Shah</t>
  </si>
  <si>
    <t>4016/120415654/03/00</t>
  </si>
  <si>
    <t>Kavita Rao</t>
  </si>
  <si>
    <t>Hemant Shah</t>
  </si>
  <si>
    <t>Prabhat Naik</t>
  </si>
  <si>
    <t>4006/131284920/02/000</t>
  </si>
  <si>
    <t>Nikhil Tiwari</t>
  </si>
  <si>
    <t>NBI Domestic</t>
  </si>
  <si>
    <t>Neha Trivedi</t>
  </si>
  <si>
    <t>4001/117090005/03/000</t>
  </si>
  <si>
    <t>Shruti Agarwal</t>
  </si>
  <si>
    <t>Kiran Desai</t>
  </si>
  <si>
    <t>Kanchan Iyer</t>
  </si>
  <si>
    <t>2600015265 00</t>
  </si>
  <si>
    <t>Bhavna Kapoor</t>
  </si>
  <si>
    <t>4016/133979727/02/000</t>
  </si>
  <si>
    <t>Ritika Reddy</t>
  </si>
  <si>
    <t>0640002231 03</t>
  </si>
  <si>
    <t>Suresh Das</t>
  </si>
  <si>
    <t>'99000011180100000339</t>
  </si>
  <si>
    <t>Shikha Chauhan</t>
  </si>
  <si>
    <t>Hemant Dutta</t>
  </si>
  <si>
    <t>4005/134645920/02/000</t>
  </si>
  <si>
    <t>Dinesh Pandey</t>
  </si>
  <si>
    <t>4101190600000030-00</t>
  </si>
  <si>
    <t>Archana Iyer</t>
  </si>
  <si>
    <t>'99000036181500000054</t>
  </si>
  <si>
    <t>Deepak Menon</t>
  </si>
  <si>
    <t>Vivek Gupta</t>
  </si>
  <si>
    <t>Rina Shah</t>
  </si>
  <si>
    <t>AG00059046000100</t>
  </si>
  <si>
    <t>Uday Prasad</t>
  </si>
  <si>
    <t>Nitin Kapoor</t>
  </si>
  <si>
    <t>2412/202063061201000</t>
  </si>
  <si>
    <t>Harish Kaul</t>
  </si>
  <si>
    <t>4101190700000015-00</t>
  </si>
  <si>
    <t>Neeraj Arora</t>
  </si>
  <si>
    <t>Mukul Kumar</t>
  </si>
  <si>
    <t>Gauri Naik</t>
  </si>
  <si>
    <t>Harish Menon</t>
  </si>
  <si>
    <t>Mohit Gupta</t>
  </si>
  <si>
    <t>Amit Arora</t>
  </si>
  <si>
    <t>Nikita Pandit</t>
  </si>
  <si>
    <t>Vikas Gupta</t>
  </si>
  <si>
    <t>Kamlesh Pillai</t>
  </si>
  <si>
    <t>Umesh Agarwal</t>
  </si>
  <si>
    <t>YB00020403000100</t>
  </si>
  <si>
    <t>Ankur Gandhi</t>
  </si>
  <si>
    <t>Dinesh Kaul</t>
  </si>
  <si>
    <t>Ankur Naik</t>
  </si>
  <si>
    <t>Alex Johnson</t>
  </si>
  <si>
    <t>4016 138636598 02 000</t>
  </si>
  <si>
    <t>Emily Thompson</t>
  </si>
  <si>
    <t>OG-20-2202-0425-00000017</t>
  </si>
  <si>
    <t>Liam Smith</t>
  </si>
  <si>
    <t>OG-20-2202-9931-00032558</t>
  </si>
  <si>
    <t>Ava Davis</t>
  </si>
  <si>
    <t>OG-20-2202-4004-00000064</t>
  </si>
  <si>
    <t>Noah Wilson</t>
  </si>
  <si>
    <t>2412 2020 7182 9001 000</t>
  </si>
  <si>
    <t>Olivia Brown</t>
  </si>
  <si>
    <t>William Martinez</t>
  </si>
  <si>
    <t>Sophia Garcia</t>
  </si>
  <si>
    <t>OG-20-2202-3304-00000009</t>
  </si>
  <si>
    <t>James Miller</t>
  </si>
  <si>
    <t>OG-20-2202-3383-00000002</t>
  </si>
  <si>
    <t>Mia Rodriguez</t>
  </si>
  <si>
    <t>OG-20-2202-4002-00000010</t>
  </si>
  <si>
    <t>Benjamin Anderson</t>
  </si>
  <si>
    <t>OG-20-2202-4010-00000869</t>
  </si>
  <si>
    <t>Charlotte Taylor</t>
  </si>
  <si>
    <t>1011/142530053/01/000</t>
  </si>
  <si>
    <t>Lucas Hernandez</t>
  </si>
  <si>
    <t>Amelia Moore</t>
  </si>
  <si>
    <t>OG-19-2202-1018-00000052</t>
  </si>
  <si>
    <t>Henry Thomas</t>
  </si>
  <si>
    <t>OG-20-2202-3315-00000009</t>
  </si>
  <si>
    <t>Harper Martin</t>
  </si>
  <si>
    <t>Alexander Jackson</t>
  </si>
  <si>
    <t>Ella White</t>
  </si>
  <si>
    <t>Michael Lee</t>
  </si>
  <si>
    <t>0301004728-2019</t>
  </si>
  <si>
    <t>Grace Harris</t>
  </si>
  <si>
    <t>Daniel Clark</t>
  </si>
  <si>
    <t>Scarlett Lewis</t>
  </si>
  <si>
    <t>Small Medium Enterpries (SME)</t>
  </si>
  <si>
    <t>Matthew Walker</t>
  </si>
  <si>
    <t>Madison Robinson</t>
  </si>
  <si>
    <t>David Hall</t>
  </si>
  <si>
    <t>Lily Young</t>
  </si>
  <si>
    <t>Samuel Allen</t>
  </si>
  <si>
    <t>Chloe King</t>
  </si>
  <si>
    <t>0000000010619837-01</t>
  </si>
  <si>
    <t>Joseph Scott</t>
  </si>
  <si>
    <t>0000000007404252-02</t>
  </si>
  <si>
    <t>Evelyn Wright</t>
  </si>
  <si>
    <t>Andrew Adams</t>
  </si>
  <si>
    <t>OG-19-2202-3383-00000007</t>
  </si>
  <si>
    <t>Aria Baker</t>
  </si>
  <si>
    <t>Christopher Campbell</t>
  </si>
  <si>
    <t>ER00004563000100</t>
  </si>
  <si>
    <t>Zoe Rivera</t>
  </si>
  <si>
    <t>Anthony Mitchell</t>
  </si>
  <si>
    <t>1003/126704810/02/000</t>
  </si>
  <si>
    <t>Mila Flores</t>
  </si>
  <si>
    <t>Joshua Roberts</t>
  </si>
  <si>
    <t>Nora Sanders</t>
  </si>
  <si>
    <t>Ryan Murphy</t>
  </si>
  <si>
    <t>Ellie Patterson</t>
  </si>
  <si>
    <t>Ethan Hughes</t>
  </si>
  <si>
    <t>OG-20-2202-1005-00000171-2019</t>
  </si>
  <si>
    <t>Layla Price</t>
  </si>
  <si>
    <t>OG-20-2202-4004-00000062</t>
  </si>
  <si>
    <t>Elijah Cox</t>
  </si>
  <si>
    <t>Penelope Butler</t>
  </si>
  <si>
    <t>OG-19-2202-1018-00000047</t>
  </si>
  <si>
    <t>Sebastian Long</t>
  </si>
  <si>
    <t>'99000044180300000048</t>
  </si>
  <si>
    <t>Riley Brooks</t>
  </si>
  <si>
    <t>Jack Richardson</t>
  </si>
  <si>
    <t>180876-0000-01</t>
  </si>
  <si>
    <t>Lily Wood</t>
  </si>
  <si>
    <t>Dylan Stewart</t>
  </si>
  <si>
    <t>Audrey Morgan</t>
  </si>
  <si>
    <t>'0655001664 03</t>
  </si>
  <si>
    <t>Luke Barnes</t>
  </si>
  <si>
    <t>'0304001755</t>
  </si>
  <si>
    <t>Bella Sanchez</t>
  </si>
  <si>
    <t>Mason Bell</t>
  </si>
  <si>
    <t>Lillian Parker</t>
  </si>
  <si>
    <t>'99000044180300000078</t>
  </si>
  <si>
    <t>Owen Reed</t>
  </si>
  <si>
    <t>Sadie Jenkins</t>
  </si>
  <si>
    <t>OG-20-2202-3315-00000012</t>
  </si>
  <si>
    <t>Gabriel Cooper</t>
  </si>
  <si>
    <t>Aubrey Coleman</t>
  </si>
  <si>
    <t>Aiden Bailey</t>
  </si>
  <si>
    <t>Hannah Evans</t>
  </si>
  <si>
    <t>Isaac Morris</t>
  </si>
  <si>
    <t>2019-L0138835-FWC</t>
  </si>
  <si>
    <t>Mila Carter</t>
  </si>
  <si>
    <t>2019-L0139704-PBL</t>
  </si>
  <si>
    <t>Logan Kelly</t>
  </si>
  <si>
    <t>2018-F0513845-BSS</t>
  </si>
  <si>
    <t>Camila Howard</t>
  </si>
  <si>
    <t>OG-20-2202-4004-00000043</t>
  </si>
  <si>
    <t>Jayden Hughes</t>
  </si>
  <si>
    <t>Savannah Ward</t>
  </si>
  <si>
    <t>Caleb Bryant</t>
  </si>
  <si>
    <t>Zoe Fisher</t>
  </si>
  <si>
    <t>Nathan Martinez</t>
  </si>
  <si>
    <t>Addison Henderson</t>
  </si>
  <si>
    <t>PFS/I3353707/71/01/006343</t>
  </si>
  <si>
    <t>Hunter Collins</t>
  </si>
  <si>
    <t>Paisley Price</t>
  </si>
  <si>
    <t>Julian Hayes</t>
  </si>
  <si>
    <t>Bella Gonzales</t>
  </si>
  <si>
    <t>Christian Spencer</t>
  </si>
  <si>
    <t>Scarlett Webb</t>
  </si>
  <si>
    <t>OG-20-2202-4097-00000201</t>
  </si>
  <si>
    <t>Dominic Graham</t>
  </si>
  <si>
    <t>OG-20-2202-4097-00000170</t>
  </si>
  <si>
    <t>Violet Pearson</t>
  </si>
  <si>
    <t>OG-19-2202-1005-00000153</t>
  </si>
  <si>
    <t>Jonathan Peterson</t>
  </si>
  <si>
    <t>OG-20-2202-4097-00000171</t>
  </si>
  <si>
    <t>Maya Simmons</t>
  </si>
  <si>
    <t>'99000044180300000047</t>
  </si>
  <si>
    <t>Connor Foster</t>
  </si>
  <si>
    <t>Aurora Hamilton</t>
  </si>
  <si>
    <t>Adrian Ross</t>
  </si>
  <si>
    <t>Natalia Stone</t>
  </si>
  <si>
    <t>'99000044180300000076</t>
  </si>
  <si>
    <t>Miles Andrews</t>
  </si>
  <si>
    <t>'0300004329</t>
  </si>
  <si>
    <t>Hazel McCarthy</t>
  </si>
  <si>
    <t>TBA</t>
  </si>
  <si>
    <t>Aaron Nichols</t>
  </si>
  <si>
    <t>'23060036180200000022</t>
  </si>
  <si>
    <t>Piper Holland</t>
  </si>
  <si>
    <t>Evan Bishop</t>
  </si>
  <si>
    <t>Lucy Reid</t>
  </si>
  <si>
    <t>'91000036191700000002</t>
  </si>
  <si>
    <t>Cameron Lawson</t>
  </si>
  <si>
    <t>Nora Freeman</t>
  </si>
  <si>
    <t>0830016972 02</t>
  </si>
  <si>
    <t>Tyler Stevens</t>
  </si>
  <si>
    <t>Sydney Gibson</t>
  </si>
  <si>
    <t>4101191100000008-00</t>
  </si>
  <si>
    <t>Caleb Watts</t>
  </si>
  <si>
    <t>Ruby Holland</t>
  </si>
  <si>
    <t>MCO/I3350570/71/01/006343</t>
  </si>
  <si>
    <t>Robert Black</t>
  </si>
  <si>
    <t>'11120044180300000011</t>
  </si>
  <si>
    <t>Alice Wheeler</t>
  </si>
  <si>
    <t>LPGPA0000000200/01</t>
  </si>
  <si>
    <t>Justin Kim</t>
  </si>
  <si>
    <t>'99000046192400000039</t>
  </si>
  <si>
    <t>Emerging Corporates Group (ECG)</t>
  </si>
  <si>
    <t>Molly Zimmerman</t>
  </si>
  <si>
    <t>Mahendara</t>
  </si>
  <si>
    <t>Shruti</t>
  </si>
  <si>
    <t>32099602-01</t>
  </si>
  <si>
    <t>Janish</t>
  </si>
  <si>
    <t>Aman Tyagi</t>
  </si>
  <si>
    <t>'2302003268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</si>
</sst>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8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282CD42-1C30-4CF9-87FF-AAAFC40CD39B}" autoFormatId="16" applyNumberFormats="0" applyBorderFormats="0" applyFontFormats="0" applyPatternFormats="0" applyAlignmentFormats="0" applyWidthHeightFormats="0">
  <queryTableRefresh nextId="16">
    <queryTableFields count="15">
      <queryTableField id="1" name="invoice_number" tableColumnId="1"/>
      <queryTableField id="2" name="invoice_date" tableColumnId="2"/>
      <queryTableField id="3" name="revenue_transaction_type" tableColumnId="3"/>
      <queryTableField id="4" name="branch_name" tableColumnId="4"/>
      <queryTableField id="5" name="solution_group" tableColumnId="5"/>
      <queryTableField id="6" name="Account Exe ID" tableColumnId="6"/>
      <queryTableField id="7" name="Account Executive" tableColumnId="7"/>
      <queryTableField id="8" name="income_class" tableColumnId="8"/>
      <queryTableField id="9" name="Amount" tableColumnId="9"/>
      <queryTableField id="10" name="Client Name" tableColumnId="10"/>
      <queryTableField id="11" name="policy_number" tableColumnId="11"/>
      <queryTableField id="12" name="income_due_date" tableColumnId="12"/>
      <queryTableField id="13" name="Invoice Cross" tableColumnId="13"/>
      <queryTableField id="14" name="Invoice New" tableColumnId="14"/>
      <queryTableField id="15" name="Invoice Renewal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9F3B84-00FF-466A-8D77-4ED94E3A843D}" name="invoice_202001231041" displayName="invoice_202001231041" ref="A1:O205" tableType="queryTable" totalsRowShown="0">
  <autoFilter ref="A1:O205" xr:uid="{CF9F3B84-00FF-466A-8D77-4ED94E3A843D}"/>
  <tableColumns count="15">
    <tableColumn id="1" xr3:uid="{E314ECF5-9858-46D1-BA73-269FD10DB270}" uniqueName="1" name="invoice_number" queryTableFieldId="1"/>
    <tableColumn id="2" xr3:uid="{B62B6488-41D3-4910-AECB-8206DECF98AC}" uniqueName="2" name="invoice_date" queryTableFieldId="2" dataDxfId="7"/>
    <tableColumn id="3" xr3:uid="{68D283AF-48F6-405E-B472-58ACCFA9E036}" uniqueName="3" name="revenue_transaction_type" queryTableFieldId="3" dataDxfId="6"/>
    <tableColumn id="4" xr3:uid="{27878432-A07B-4B90-92F9-4BBB4C6A97D1}" uniqueName="4" name="branch_name" queryTableFieldId="4" dataDxfId="5"/>
    <tableColumn id="5" xr3:uid="{5492A7A9-8C1C-4C67-BC63-AC332BFEC4B4}" uniqueName="5" name="solution_group" queryTableFieldId="5" dataDxfId="4"/>
    <tableColumn id="6" xr3:uid="{DFAE746A-9798-49B6-91CD-DA9119AD520F}" uniqueName="6" name="Account Exe ID" queryTableFieldId="6"/>
    <tableColumn id="7" xr3:uid="{D53CEC1A-5A96-4BF8-BB5B-165085000F77}" uniqueName="7" name="Account Executive" queryTableFieldId="7" dataDxfId="3"/>
    <tableColumn id="8" xr3:uid="{8BF5EA4C-FEE6-4F4A-98F6-5ABB99B7E367}" uniqueName="8" name="income_class" queryTableFieldId="8" dataDxfId="2"/>
    <tableColumn id="9" xr3:uid="{9519717D-05A4-4BD3-8001-019F53F2D613}" uniqueName="9" name="Amount" queryTableFieldId="9"/>
    <tableColumn id="10" xr3:uid="{71C71A77-1B16-4951-B06D-6FDF8B8C2BEB}" uniqueName="10" name="Client Name" queryTableFieldId="10" dataDxfId="1"/>
    <tableColumn id="11" xr3:uid="{60E6C17F-4C42-4CD0-80C2-45EDF06224BA}" uniqueName="11" name="policy_number" queryTableFieldId="11"/>
    <tableColumn id="12" xr3:uid="{FF77A2BD-9E5E-4B1E-9D79-BB170EF398E2}" uniqueName="12" name="income_due_date" queryTableFieldId="12" dataDxfId="0"/>
    <tableColumn id="13" xr3:uid="{C10C8341-351B-4EC5-A776-F4817887A820}" uniqueName="13" name="Invoice Cross" queryTableFieldId="13"/>
    <tableColumn id="14" xr3:uid="{73EAA68A-C21C-4ECB-B109-A10B59EA68DC}" uniqueName="14" name="Invoice New" queryTableFieldId="14"/>
    <tableColumn id="15" xr3:uid="{7CA55FF6-790B-4E40-A344-6102D5364D73}" uniqueName="15" name="Invoice Renewal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0F1AC-814F-49CC-B0FB-BF8EAB3F0528}">
  <dimension ref="A1:O205"/>
  <sheetViews>
    <sheetView tabSelected="1" topLeftCell="E1" workbookViewId="0">
      <selection activeCell="O3" sqref="O3"/>
    </sheetView>
  </sheetViews>
  <sheetFormatPr defaultRowHeight="14.4" x14ac:dyDescent="0.3"/>
  <cols>
    <col min="1" max="1" width="17" bestFit="1" customWidth="1"/>
    <col min="2" max="2" width="14" bestFit="1" customWidth="1"/>
    <col min="3" max="3" width="25.6640625" bestFit="1" customWidth="1"/>
    <col min="4" max="4" width="14.88671875" bestFit="1" customWidth="1"/>
    <col min="5" max="5" width="31.5546875" bestFit="1" customWidth="1"/>
    <col min="6" max="6" width="15.88671875" bestFit="1" customWidth="1"/>
    <col min="7" max="7" width="18.77734375" bestFit="1" customWidth="1"/>
    <col min="8" max="8" width="14.33203125" bestFit="1" customWidth="1"/>
    <col min="9" max="9" width="10.109375" bestFit="1" customWidth="1"/>
    <col min="10" max="10" width="18.6640625" bestFit="1" customWidth="1"/>
    <col min="11" max="11" width="29.33203125" bestFit="1" customWidth="1"/>
    <col min="12" max="12" width="18.5546875" bestFit="1" customWidth="1"/>
    <col min="13" max="13" width="14.21875" bestFit="1" customWidth="1"/>
    <col min="14" max="14" width="13.5546875" bestFit="1" customWidth="1"/>
    <col min="15" max="15" width="17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1900001087</v>
      </c>
      <c r="B2" s="1">
        <v>43566</v>
      </c>
      <c r="C2" t="s">
        <v>15</v>
      </c>
      <c r="D2" t="s">
        <v>16</v>
      </c>
      <c r="E2" t="s">
        <v>17</v>
      </c>
      <c r="F2">
        <v>10</v>
      </c>
      <c r="G2" t="s">
        <v>18</v>
      </c>
      <c r="H2" t="s">
        <v>19</v>
      </c>
      <c r="I2">
        <v>84746</v>
      </c>
      <c r="J2" t="s">
        <v>20</v>
      </c>
      <c r="L2" s="1">
        <v>43565</v>
      </c>
      <c r="M2">
        <f ca="1">SUMIF(H1:I205,"Cross Sell",I1:I205)</f>
        <v>3040813</v>
      </c>
      <c r="N2">
        <f ca="1">SUMIF(H1:I205,"New",I1:I205)</f>
        <v>827822</v>
      </c>
      <c r="O2">
        <f ca="1">SUMIF(H1:I205,"Renewal",I1:I205)</f>
        <v>8394071</v>
      </c>
    </row>
    <row r="3" spans="1:15" x14ac:dyDescent="0.3">
      <c r="A3">
        <v>1900001106</v>
      </c>
      <c r="B3" s="1">
        <v>43602</v>
      </c>
      <c r="C3" t="s">
        <v>21</v>
      </c>
      <c r="D3" t="s">
        <v>16</v>
      </c>
      <c r="E3" t="s">
        <v>22</v>
      </c>
      <c r="F3">
        <v>4</v>
      </c>
      <c r="G3" t="s">
        <v>23</v>
      </c>
      <c r="H3" t="s">
        <v>24</v>
      </c>
      <c r="I3">
        <v>86724</v>
      </c>
      <c r="J3" t="s">
        <v>25</v>
      </c>
      <c r="K3">
        <v>2.4142020928135997E+18</v>
      </c>
      <c r="L3" s="1">
        <v>43466</v>
      </c>
    </row>
    <row r="4" spans="1:15" x14ac:dyDescent="0.3">
      <c r="A4">
        <v>1900001110</v>
      </c>
      <c r="B4" s="1">
        <v>43602</v>
      </c>
      <c r="C4" t="s">
        <v>21</v>
      </c>
      <c r="D4" t="s">
        <v>16</v>
      </c>
      <c r="E4" t="s">
        <v>22</v>
      </c>
      <c r="F4">
        <v>4</v>
      </c>
      <c r="G4" t="s">
        <v>23</v>
      </c>
      <c r="H4" t="s">
        <v>24</v>
      </c>
      <c r="I4">
        <v>148500</v>
      </c>
      <c r="J4" t="s">
        <v>26</v>
      </c>
      <c r="K4" t="s">
        <v>27</v>
      </c>
      <c r="L4" s="1">
        <v>43525</v>
      </c>
    </row>
    <row r="5" spans="1:15" x14ac:dyDescent="0.3">
      <c r="A5">
        <v>1900001136</v>
      </c>
      <c r="B5" s="1">
        <v>43615</v>
      </c>
      <c r="C5" t="s">
        <v>21</v>
      </c>
      <c r="D5" t="s">
        <v>16</v>
      </c>
      <c r="E5" t="s">
        <v>22</v>
      </c>
      <c r="F5">
        <v>1</v>
      </c>
      <c r="G5" t="s">
        <v>28</v>
      </c>
      <c r="H5" t="s">
        <v>29</v>
      </c>
      <c r="I5">
        <v>12019</v>
      </c>
      <c r="J5" t="s">
        <v>30</v>
      </c>
      <c r="K5" t="s">
        <v>31</v>
      </c>
      <c r="L5" s="1">
        <v>43466</v>
      </c>
    </row>
    <row r="6" spans="1:15" x14ac:dyDescent="0.3">
      <c r="A6">
        <v>1900001164</v>
      </c>
      <c r="B6" s="1">
        <v>43627</v>
      </c>
      <c r="C6" t="s">
        <v>21</v>
      </c>
      <c r="D6" t="s">
        <v>16</v>
      </c>
      <c r="E6" t="s">
        <v>22</v>
      </c>
      <c r="F6">
        <v>4</v>
      </c>
      <c r="G6" t="s">
        <v>23</v>
      </c>
      <c r="H6" t="s">
        <v>24</v>
      </c>
      <c r="I6">
        <v>12500</v>
      </c>
      <c r="J6" t="s">
        <v>32</v>
      </c>
      <c r="K6" t="s">
        <v>33</v>
      </c>
      <c r="L6" s="1">
        <v>43522</v>
      </c>
    </row>
    <row r="7" spans="1:15" x14ac:dyDescent="0.3">
      <c r="A7">
        <v>1900001165</v>
      </c>
      <c r="B7" s="1">
        <v>43627</v>
      </c>
      <c r="C7" t="s">
        <v>21</v>
      </c>
      <c r="D7" t="s">
        <v>16</v>
      </c>
      <c r="E7" t="s">
        <v>34</v>
      </c>
      <c r="F7">
        <v>5</v>
      </c>
      <c r="G7" t="s">
        <v>35</v>
      </c>
      <c r="H7" t="s">
        <v>19</v>
      </c>
      <c r="I7">
        <v>58300</v>
      </c>
      <c r="J7" t="s">
        <v>36</v>
      </c>
      <c r="K7">
        <v>206314000000</v>
      </c>
      <c r="L7" s="1">
        <v>43512</v>
      </c>
    </row>
    <row r="8" spans="1:15" x14ac:dyDescent="0.3">
      <c r="A8">
        <v>1900001167</v>
      </c>
      <c r="B8" s="1">
        <v>43629</v>
      </c>
      <c r="C8" t="s">
        <v>21</v>
      </c>
      <c r="D8" t="s">
        <v>16</v>
      </c>
      <c r="E8" t="s">
        <v>22</v>
      </c>
      <c r="F8">
        <v>1</v>
      </c>
      <c r="G8" t="s">
        <v>28</v>
      </c>
      <c r="H8" t="s">
        <v>29</v>
      </c>
      <c r="I8">
        <v>12019</v>
      </c>
      <c r="J8" t="s">
        <v>37</v>
      </c>
      <c r="K8" t="s">
        <v>38</v>
      </c>
      <c r="L8" s="1">
        <v>43466</v>
      </c>
    </row>
    <row r="9" spans="1:15" x14ac:dyDescent="0.3">
      <c r="A9">
        <v>1900001168</v>
      </c>
      <c r="B9" s="1">
        <v>43629</v>
      </c>
      <c r="C9" t="s">
        <v>21</v>
      </c>
      <c r="D9" t="s">
        <v>16</v>
      </c>
      <c r="E9" t="s">
        <v>22</v>
      </c>
      <c r="F9">
        <v>1</v>
      </c>
      <c r="G9" t="s">
        <v>28</v>
      </c>
      <c r="H9" t="s">
        <v>29</v>
      </c>
      <c r="I9">
        <v>30048</v>
      </c>
      <c r="J9" t="s">
        <v>39</v>
      </c>
      <c r="K9" t="s">
        <v>40</v>
      </c>
      <c r="L9" s="1">
        <v>43466</v>
      </c>
    </row>
    <row r="10" spans="1:15" x14ac:dyDescent="0.3">
      <c r="A10">
        <v>1900001169</v>
      </c>
      <c r="B10" s="1">
        <v>43629</v>
      </c>
      <c r="C10" t="s">
        <v>21</v>
      </c>
      <c r="D10" t="s">
        <v>16</v>
      </c>
      <c r="E10" t="s">
        <v>22</v>
      </c>
      <c r="F10">
        <v>4</v>
      </c>
      <c r="G10" t="s">
        <v>23</v>
      </c>
      <c r="H10" t="s">
        <v>24</v>
      </c>
      <c r="I10">
        <v>14394</v>
      </c>
      <c r="J10" t="s">
        <v>41</v>
      </c>
      <c r="K10">
        <v>3.1242015891005998E+18</v>
      </c>
      <c r="L10" s="1">
        <v>43467</v>
      </c>
    </row>
    <row r="11" spans="1:15" x14ac:dyDescent="0.3">
      <c r="A11">
        <v>1900001282</v>
      </c>
      <c r="B11" s="1">
        <v>43659</v>
      </c>
      <c r="C11" t="s">
        <v>21</v>
      </c>
      <c r="D11" t="s">
        <v>16</v>
      </c>
      <c r="E11" t="s">
        <v>34</v>
      </c>
      <c r="F11">
        <v>6</v>
      </c>
      <c r="G11" t="s">
        <v>42</v>
      </c>
      <c r="H11" t="s">
        <v>19</v>
      </c>
      <c r="I11">
        <v>32392</v>
      </c>
      <c r="J11" t="s">
        <v>43</v>
      </c>
      <c r="K11" t="s">
        <v>44</v>
      </c>
      <c r="L11" s="1">
        <v>43595</v>
      </c>
    </row>
    <row r="12" spans="1:15" x14ac:dyDescent="0.3">
      <c r="A12">
        <v>1900001293</v>
      </c>
      <c r="B12" s="1">
        <v>43662</v>
      </c>
      <c r="C12" t="s">
        <v>21</v>
      </c>
      <c r="D12" t="s">
        <v>16</v>
      </c>
      <c r="E12" t="s">
        <v>17</v>
      </c>
      <c r="F12">
        <v>13</v>
      </c>
      <c r="G12" t="s">
        <v>45</v>
      </c>
      <c r="H12" t="s">
        <v>29</v>
      </c>
      <c r="I12">
        <v>162500</v>
      </c>
      <c r="J12" t="s">
        <v>46</v>
      </c>
      <c r="K12" t="s">
        <v>47</v>
      </c>
      <c r="L12" s="1">
        <v>43560</v>
      </c>
    </row>
    <row r="13" spans="1:15" x14ac:dyDescent="0.3">
      <c r="A13">
        <v>1900001294</v>
      </c>
      <c r="B13" s="1">
        <v>43662</v>
      </c>
      <c r="C13" t="s">
        <v>21</v>
      </c>
      <c r="D13" t="s">
        <v>16</v>
      </c>
      <c r="E13" t="s">
        <v>17</v>
      </c>
      <c r="F13">
        <v>13</v>
      </c>
      <c r="G13" t="s">
        <v>45</v>
      </c>
      <c r="H13" t="s">
        <v>29</v>
      </c>
      <c r="I13">
        <v>250000</v>
      </c>
      <c r="J13" t="s">
        <v>48</v>
      </c>
      <c r="K13" t="s">
        <v>49</v>
      </c>
      <c r="L13" s="1">
        <v>43573</v>
      </c>
    </row>
    <row r="14" spans="1:15" x14ac:dyDescent="0.3">
      <c r="A14">
        <v>1900001304</v>
      </c>
      <c r="B14" s="1">
        <v>43663</v>
      </c>
      <c r="C14" t="s">
        <v>21</v>
      </c>
      <c r="D14" t="s">
        <v>16</v>
      </c>
      <c r="E14" t="s">
        <v>22</v>
      </c>
      <c r="F14">
        <v>1</v>
      </c>
      <c r="G14" t="s">
        <v>28</v>
      </c>
      <c r="H14" t="s">
        <v>29</v>
      </c>
      <c r="I14">
        <v>2646</v>
      </c>
      <c r="J14" t="s">
        <v>50</v>
      </c>
      <c r="K14">
        <v>2280082714</v>
      </c>
      <c r="L14" s="1">
        <v>43535</v>
      </c>
    </row>
    <row r="15" spans="1:15" x14ac:dyDescent="0.3">
      <c r="A15">
        <v>1900001305</v>
      </c>
      <c r="B15" s="1">
        <v>43663</v>
      </c>
      <c r="C15" t="s">
        <v>21</v>
      </c>
      <c r="D15" t="s">
        <v>16</v>
      </c>
      <c r="E15" t="s">
        <v>22</v>
      </c>
      <c r="F15">
        <v>4</v>
      </c>
      <c r="G15" t="s">
        <v>23</v>
      </c>
      <c r="H15" t="s">
        <v>19</v>
      </c>
      <c r="I15">
        <v>18150</v>
      </c>
      <c r="J15" t="s">
        <v>51</v>
      </c>
      <c r="K15">
        <v>8502066</v>
      </c>
      <c r="L15" s="1">
        <v>43468</v>
      </c>
    </row>
    <row r="16" spans="1:15" x14ac:dyDescent="0.3">
      <c r="A16">
        <v>1900001306</v>
      </c>
      <c r="B16" s="1">
        <v>43663</v>
      </c>
      <c r="C16" t="s">
        <v>21</v>
      </c>
      <c r="D16" t="s">
        <v>16</v>
      </c>
      <c r="E16" t="s">
        <v>17</v>
      </c>
      <c r="F16">
        <v>2</v>
      </c>
      <c r="G16" t="s">
        <v>52</v>
      </c>
      <c r="H16" t="s">
        <v>29</v>
      </c>
      <c r="I16">
        <v>60025</v>
      </c>
      <c r="J16" t="s">
        <v>53</v>
      </c>
      <c r="K16" t="s">
        <v>54</v>
      </c>
      <c r="L16" s="1">
        <v>43577</v>
      </c>
    </row>
    <row r="17" spans="1:12" x14ac:dyDescent="0.3">
      <c r="A17">
        <v>1900001308</v>
      </c>
      <c r="B17" s="1">
        <v>43663</v>
      </c>
      <c r="C17" t="s">
        <v>21</v>
      </c>
      <c r="D17" t="s">
        <v>16</v>
      </c>
      <c r="E17" t="s">
        <v>55</v>
      </c>
      <c r="F17">
        <v>3</v>
      </c>
      <c r="G17" t="s">
        <v>56</v>
      </c>
      <c r="H17" t="s">
        <v>29</v>
      </c>
      <c r="I17">
        <v>134736</v>
      </c>
      <c r="J17" t="s">
        <v>57</v>
      </c>
      <c r="K17">
        <v>9.9000044190299996E+19</v>
      </c>
      <c r="L17" s="1">
        <v>43580</v>
      </c>
    </row>
    <row r="18" spans="1:12" x14ac:dyDescent="0.3">
      <c r="A18">
        <v>1900001342</v>
      </c>
      <c r="B18" s="1">
        <v>43669</v>
      </c>
      <c r="C18" t="s">
        <v>21</v>
      </c>
      <c r="D18" t="s">
        <v>16</v>
      </c>
      <c r="E18" t="s">
        <v>34</v>
      </c>
      <c r="F18">
        <v>6</v>
      </c>
      <c r="G18" t="s">
        <v>42</v>
      </c>
      <c r="H18" t="s">
        <v>24</v>
      </c>
      <c r="I18">
        <v>914999</v>
      </c>
      <c r="J18" t="s">
        <v>58</v>
      </c>
      <c r="K18" t="s">
        <v>44</v>
      </c>
      <c r="L18" s="1">
        <v>43466</v>
      </c>
    </row>
    <row r="19" spans="1:12" x14ac:dyDescent="0.3">
      <c r="A19">
        <v>1900001354</v>
      </c>
      <c r="B19" s="1">
        <v>43670</v>
      </c>
      <c r="C19" t="s">
        <v>21</v>
      </c>
      <c r="D19" t="s">
        <v>16</v>
      </c>
      <c r="E19" t="s">
        <v>22</v>
      </c>
      <c r="F19">
        <v>1</v>
      </c>
      <c r="G19" t="s">
        <v>28</v>
      </c>
      <c r="H19" t="s">
        <v>29</v>
      </c>
      <c r="I19">
        <v>2942</v>
      </c>
      <c r="J19" t="s">
        <v>59</v>
      </c>
      <c r="K19">
        <v>3.1142027482102001E+18</v>
      </c>
      <c r="L19" s="1">
        <v>43566</v>
      </c>
    </row>
    <row r="20" spans="1:12" x14ac:dyDescent="0.3">
      <c r="A20">
        <v>1900001355</v>
      </c>
      <c r="B20" s="1">
        <v>43670</v>
      </c>
      <c r="C20" t="s">
        <v>21</v>
      </c>
      <c r="D20" t="s">
        <v>16</v>
      </c>
      <c r="E20" t="s">
        <v>22</v>
      </c>
      <c r="F20">
        <v>1</v>
      </c>
      <c r="G20" t="s">
        <v>28</v>
      </c>
      <c r="H20" t="s">
        <v>29</v>
      </c>
      <c r="I20">
        <v>6740</v>
      </c>
      <c r="J20" t="s">
        <v>60</v>
      </c>
      <c r="K20" t="s">
        <v>61</v>
      </c>
      <c r="L20" s="1">
        <v>43528</v>
      </c>
    </row>
    <row r="21" spans="1:12" x14ac:dyDescent="0.3">
      <c r="A21">
        <v>1900001356</v>
      </c>
      <c r="B21" s="1">
        <v>43670</v>
      </c>
      <c r="C21" t="s">
        <v>21</v>
      </c>
      <c r="D21" t="s">
        <v>16</v>
      </c>
      <c r="E21" t="s">
        <v>22</v>
      </c>
      <c r="F21">
        <v>4</v>
      </c>
      <c r="G21" t="s">
        <v>23</v>
      </c>
      <c r="H21" t="s">
        <v>24</v>
      </c>
      <c r="I21">
        <v>6740</v>
      </c>
      <c r="J21" t="s">
        <v>62</v>
      </c>
      <c r="K21" t="s">
        <v>63</v>
      </c>
      <c r="L21" s="1">
        <v>43513</v>
      </c>
    </row>
    <row r="22" spans="1:12" x14ac:dyDescent="0.3">
      <c r="A22">
        <v>1900001361</v>
      </c>
      <c r="B22" s="1">
        <v>43673</v>
      </c>
      <c r="C22" t="s">
        <v>21</v>
      </c>
      <c r="D22" t="s">
        <v>16</v>
      </c>
      <c r="E22" t="s">
        <v>17</v>
      </c>
      <c r="F22">
        <v>3</v>
      </c>
      <c r="G22" t="s">
        <v>56</v>
      </c>
      <c r="H22" t="s">
        <v>29</v>
      </c>
      <c r="I22">
        <v>74250</v>
      </c>
      <c r="J22" t="s">
        <v>64</v>
      </c>
      <c r="K22">
        <v>41045707</v>
      </c>
      <c r="L22" s="1">
        <v>43556</v>
      </c>
    </row>
    <row r="23" spans="1:12" x14ac:dyDescent="0.3">
      <c r="A23">
        <v>1900001376</v>
      </c>
      <c r="B23" s="1">
        <v>43675</v>
      </c>
      <c r="C23" t="s">
        <v>21</v>
      </c>
      <c r="D23" t="s">
        <v>16</v>
      </c>
      <c r="E23" t="s">
        <v>34</v>
      </c>
      <c r="F23">
        <v>6</v>
      </c>
      <c r="G23" t="s">
        <v>42</v>
      </c>
      <c r="H23" t="s">
        <v>19</v>
      </c>
      <c r="I23">
        <v>1614</v>
      </c>
      <c r="J23" t="s">
        <v>65</v>
      </c>
      <c r="K23" t="s">
        <v>66</v>
      </c>
      <c r="L23" s="1">
        <v>43535</v>
      </c>
    </row>
    <row r="24" spans="1:12" x14ac:dyDescent="0.3">
      <c r="A24">
        <v>1900001377</v>
      </c>
      <c r="B24" s="1">
        <v>43675</v>
      </c>
      <c r="C24" t="s">
        <v>21</v>
      </c>
      <c r="D24" t="s">
        <v>16</v>
      </c>
      <c r="E24" t="s">
        <v>67</v>
      </c>
      <c r="F24">
        <v>13</v>
      </c>
      <c r="G24" t="s">
        <v>45</v>
      </c>
      <c r="H24" t="s">
        <v>29</v>
      </c>
      <c r="I24">
        <v>11540</v>
      </c>
      <c r="J24" t="s">
        <v>68</v>
      </c>
      <c r="K24" t="s">
        <v>69</v>
      </c>
      <c r="L24" s="1">
        <v>43494</v>
      </c>
    </row>
    <row r="25" spans="1:12" x14ac:dyDescent="0.3">
      <c r="A25">
        <v>1900001385</v>
      </c>
      <c r="B25" s="1">
        <v>43677</v>
      </c>
      <c r="C25" t="s">
        <v>21</v>
      </c>
      <c r="D25" t="s">
        <v>16</v>
      </c>
      <c r="E25" t="s">
        <v>22</v>
      </c>
      <c r="F25">
        <v>4</v>
      </c>
      <c r="G25" t="s">
        <v>23</v>
      </c>
      <c r="H25" t="s">
        <v>19</v>
      </c>
      <c r="I25">
        <v>2140</v>
      </c>
      <c r="J25" t="s">
        <v>70</v>
      </c>
      <c r="K25" t="s">
        <v>71</v>
      </c>
      <c r="L25" s="1">
        <v>43495</v>
      </c>
    </row>
    <row r="26" spans="1:12" x14ac:dyDescent="0.3">
      <c r="A26">
        <v>1900001388</v>
      </c>
      <c r="B26" s="1">
        <v>43677</v>
      </c>
      <c r="C26" t="s">
        <v>21</v>
      </c>
      <c r="D26" t="s">
        <v>16</v>
      </c>
      <c r="E26" t="s">
        <v>22</v>
      </c>
      <c r="F26">
        <v>4</v>
      </c>
      <c r="G26" t="s">
        <v>23</v>
      </c>
      <c r="H26" t="s">
        <v>24</v>
      </c>
      <c r="I26">
        <v>45375</v>
      </c>
      <c r="J26" t="s">
        <v>72</v>
      </c>
      <c r="K26" t="s">
        <v>73</v>
      </c>
      <c r="L26" s="1">
        <v>43525</v>
      </c>
    </row>
    <row r="27" spans="1:12" x14ac:dyDescent="0.3">
      <c r="A27">
        <v>1900001390</v>
      </c>
      <c r="B27" s="1">
        <v>43677</v>
      </c>
      <c r="C27" t="s">
        <v>21</v>
      </c>
      <c r="D27" t="s">
        <v>16</v>
      </c>
      <c r="E27" t="s">
        <v>22</v>
      </c>
      <c r="F27">
        <v>1</v>
      </c>
      <c r="G27" t="s">
        <v>28</v>
      </c>
      <c r="H27" t="s">
        <v>29</v>
      </c>
      <c r="I27">
        <v>11593</v>
      </c>
      <c r="J27" t="s">
        <v>74</v>
      </c>
      <c r="K27">
        <v>32119154</v>
      </c>
      <c r="L27" s="1">
        <v>43556</v>
      </c>
    </row>
    <row r="28" spans="1:12" x14ac:dyDescent="0.3">
      <c r="A28">
        <v>1900001392</v>
      </c>
      <c r="B28" s="1">
        <v>43677</v>
      </c>
      <c r="C28" t="s">
        <v>21</v>
      </c>
      <c r="D28" t="s">
        <v>16</v>
      </c>
      <c r="E28" t="s">
        <v>34</v>
      </c>
      <c r="F28">
        <v>6</v>
      </c>
      <c r="G28" t="s">
        <v>42</v>
      </c>
      <c r="H28" t="s">
        <v>19</v>
      </c>
      <c r="I28">
        <v>46995</v>
      </c>
      <c r="J28" t="s">
        <v>75</v>
      </c>
      <c r="K28" t="s">
        <v>44</v>
      </c>
      <c r="L28" s="1">
        <v>43494</v>
      </c>
    </row>
    <row r="29" spans="1:12" x14ac:dyDescent="0.3">
      <c r="A29">
        <v>1900001393</v>
      </c>
      <c r="B29" s="1">
        <v>43677</v>
      </c>
      <c r="C29" t="s">
        <v>21</v>
      </c>
      <c r="D29" t="s">
        <v>16</v>
      </c>
      <c r="E29" t="s">
        <v>22</v>
      </c>
      <c r="F29">
        <v>1</v>
      </c>
      <c r="G29" t="s">
        <v>28</v>
      </c>
      <c r="H29" t="s">
        <v>29</v>
      </c>
      <c r="I29">
        <v>529</v>
      </c>
      <c r="J29" t="s">
        <v>76</v>
      </c>
      <c r="K29" t="s">
        <v>77</v>
      </c>
      <c r="L29" s="1">
        <v>43514</v>
      </c>
    </row>
    <row r="30" spans="1:12" x14ac:dyDescent="0.3">
      <c r="A30">
        <v>1900001394</v>
      </c>
      <c r="B30" s="1">
        <v>43677</v>
      </c>
      <c r="C30" t="s">
        <v>21</v>
      </c>
      <c r="D30" t="s">
        <v>16</v>
      </c>
      <c r="E30" t="s">
        <v>22</v>
      </c>
      <c r="F30">
        <v>4</v>
      </c>
      <c r="G30" t="s">
        <v>23</v>
      </c>
      <c r="H30" t="s">
        <v>24</v>
      </c>
      <c r="I30">
        <v>18563</v>
      </c>
      <c r="J30" t="s">
        <v>78</v>
      </c>
      <c r="K30" t="s">
        <v>79</v>
      </c>
      <c r="L30" s="1">
        <v>43525</v>
      </c>
    </row>
    <row r="31" spans="1:12" x14ac:dyDescent="0.3">
      <c r="A31">
        <v>1900001396</v>
      </c>
      <c r="B31" s="1">
        <v>43677</v>
      </c>
      <c r="C31" t="s">
        <v>21</v>
      </c>
      <c r="D31" t="s">
        <v>16</v>
      </c>
      <c r="E31" t="s">
        <v>34</v>
      </c>
      <c r="F31">
        <v>6</v>
      </c>
      <c r="G31" t="s">
        <v>42</v>
      </c>
      <c r="H31" t="s">
        <v>19</v>
      </c>
      <c r="I31">
        <v>27435</v>
      </c>
      <c r="J31" t="s">
        <v>80</v>
      </c>
      <c r="K31" t="s">
        <v>44</v>
      </c>
      <c r="L31" s="1">
        <v>43488</v>
      </c>
    </row>
    <row r="32" spans="1:12" x14ac:dyDescent="0.3">
      <c r="A32">
        <v>1900001397</v>
      </c>
      <c r="B32" s="1">
        <v>43677</v>
      </c>
      <c r="C32" t="s">
        <v>21</v>
      </c>
      <c r="D32" t="s">
        <v>16</v>
      </c>
      <c r="E32" t="s">
        <v>34</v>
      </c>
      <c r="F32">
        <v>6</v>
      </c>
      <c r="G32" t="s">
        <v>42</v>
      </c>
      <c r="H32" t="s">
        <v>24</v>
      </c>
      <c r="I32">
        <v>25336</v>
      </c>
      <c r="J32" t="s">
        <v>81</v>
      </c>
      <c r="K32" t="s">
        <v>82</v>
      </c>
      <c r="L32" s="1">
        <v>43522</v>
      </c>
    </row>
    <row r="33" spans="1:12" x14ac:dyDescent="0.3">
      <c r="A33">
        <v>1900001398</v>
      </c>
      <c r="B33" s="1">
        <v>43677</v>
      </c>
      <c r="C33" t="s">
        <v>21</v>
      </c>
      <c r="D33" t="s">
        <v>16</v>
      </c>
      <c r="E33" t="s">
        <v>34</v>
      </c>
      <c r="F33">
        <v>6</v>
      </c>
      <c r="G33" t="s">
        <v>42</v>
      </c>
      <c r="H33" t="s">
        <v>29</v>
      </c>
      <c r="I33">
        <v>10772</v>
      </c>
      <c r="J33" t="s">
        <v>83</v>
      </c>
      <c r="K33" t="s">
        <v>84</v>
      </c>
      <c r="L33" s="1">
        <v>43538</v>
      </c>
    </row>
    <row r="34" spans="1:12" x14ac:dyDescent="0.3">
      <c r="A34">
        <v>1900001403</v>
      </c>
      <c r="B34" s="1">
        <v>43677</v>
      </c>
      <c r="C34" t="s">
        <v>21</v>
      </c>
      <c r="D34" t="s">
        <v>16</v>
      </c>
      <c r="E34" t="s">
        <v>34</v>
      </c>
      <c r="F34">
        <v>6</v>
      </c>
      <c r="G34" t="s">
        <v>42</v>
      </c>
      <c r="H34" t="s">
        <v>29</v>
      </c>
      <c r="I34">
        <v>9283</v>
      </c>
      <c r="J34" t="s">
        <v>85</v>
      </c>
      <c r="K34" t="s">
        <v>84</v>
      </c>
      <c r="L34" s="1">
        <v>43573</v>
      </c>
    </row>
    <row r="35" spans="1:12" x14ac:dyDescent="0.3">
      <c r="A35">
        <v>1900001404</v>
      </c>
      <c r="B35" s="1">
        <v>43677</v>
      </c>
      <c r="C35" t="s">
        <v>21</v>
      </c>
      <c r="D35" t="s">
        <v>16</v>
      </c>
      <c r="E35" t="s">
        <v>34</v>
      </c>
      <c r="F35">
        <v>6</v>
      </c>
      <c r="G35" t="s">
        <v>42</v>
      </c>
      <c r="H35" t="s">
        <v>29</v>
      </c>
      <c r="I35">
        <v>6903</v>
      </c>
      <c r="J35" t="s">
        <v>86</v>
      </c>
      <c r="K35" t="s">
        <v>84</v>
      </c>
      <c r="L35" s="1">
        <v>43615</v>
      </c>
    </row>
    <row r="36" spans="1:12" x14ac:dyDescent="0.3">
      <c r="A36">
        <v>1900001405</v>
      </c>
      <c r="B36" s="1">
        <v>43677</v>
      </c>
      <c r="C36" t="s">
        <v>21</v>
      </c>
      <c r="D36" t="s">
        <v>16</v>
      </c>
      <c r="E36" t="s">
        <v>55</v>
      </c>
      <c r="F36">
        <v>13</v>
      </c>
      <c r="G36" t="s">
        <v>45</v>
      </c>
      <c r="H36" t="s">
        <v>24</v>
      </c>
      <c r="I36">
        <v>90663</v>
      </c>
      <c r="J36" t="s">
        <v>87</v>
      </c>
      <c r="K36" t="s">
        <v>88</v>
      </c>
      <c r="L36" s="1">
        <v>43556</v>
      </c>
    </row>
    <row r="37" spans="1:12" x14ac:dyDescent="0.3">
      <c r="A37">
        <v>1900001583</v>
      </c>
      <c r="B37" s="1">
        <v>43691</v>
      </c>
      <c r="C37" t="s">
        <v>21</v>
      </c>
      <c r="D37" t="s">
        <v>16</v>
      </c>
      <c r="E37" t="s">
        <v>34</v>
      </c>
      <c r="F37">
        <v>6</v>
      </c>
      <c r="G37" t="s">
        <v>42</v>
      </c>
      <c r="H37" t="s">
        <v>24</v>
      </c>
      <c r="I37">
        <v>156000</v>
      </c>
      <c r="J37" t="s">
        <v>89</v>
      </c>
      <c r="K37" t="s">
        <v>90</v>
      </c>
      <c r="L37" s="1">
        <v>43469</v>
      </c>
    </row>
    <row r="38" spans="1:12" x14ac:dyDescent="0.3">
      <c r="A38">
        <v>1900001602</v>
      </c>
      <c r="B38" s="1">
        <v>43694</v>
      </c>
      <c r="C38" t="s">
        <v>21</v>
      </c>
      <c r="D38" t="s">
        <v>16</v>
      </c>
      <c r="E38" t="s">
        <v>22</v>
      </c>
      <c r="F38">
        <v>1</v>
      </c>
      <c r="G38" t="s">
        <v>28</v>
      </c>
      <c r="H38" t="s">
        <v>29</v>
      </c>
      <c r="I38">
        <v>21157</v>
      </c>
      <c r="J38" t="s">
        <v>91</v>
      </c>
      <c r="K38" t="s">
        <v>92</v>
      </c>
      <c r="L38" s="1">
        <v>43466</v>
      </c>
    </row>
    <row r="39" spans="1:12" x14ac:dyDescent="0.3">
      <c r="A39">
        <v>1900001603</v>
      </c>
      <c r="B39" s="1">
        <v>43694</v>
      </c>
      <c r="C39" t="s">
        <v>21</v>
      </c>
      <c r="D39" t="s">
        <v>16</v>
      </c>
      <c r="E39" t="s">
        <v>22</v>
      </c>
      <c r="F39">
        <v>1</v>
      </c>
      <c r="G39" t="s">
        <v>28</v>
      </c>
      <c r="H39" t="s">
        <v>29</v>
      </c>
      <c r="I39">
        <v>77787</v>
      </c>
      <c r="J39" t="s">
        <v>93</v>
      </c>
      <c r="K39" t="s">
        <v>94</v>
      </c>
      <c r="L39" s="1">
        <v>43466</v>
      </c>
    </row>
    <row r="40" spans="1:12" x14ac:dyDescent="0.3">
      <c r="A40">
        <v>1900001604</v>
      </c>
      <c r="B40" s="1">
        <v>43694</v>
      </c>
      <c r="C40" t="s">
        <v>21</v>
      </c>
      <c r="D40" t="s">
        <v>16</v>
      </c>
      <c r="E40" t="s">
        <v>22</v>
      </c>
      <c r="F40">
        <v>1</v>
      </c>
      <c r="G40" t="s">
        <v>28</v>
      </c>
      <c r="H40" t="s">
        <v>29</v>
      </c>
      <c r="I40">
        <v>8468</v>
      </c>
      <c r="J40" t="s">
        <v>95</v>
      </c>
      <c r="K40" t="s">
        <v>96</v>
      </c>
      <c r="L40" s="1">
        <v>43514</v>
      </c>
    </row>
    <row r="41" spans="1:12" x14ac:dyDescent="0.3">
      <c r="A41">
        <v>1900001605</v>
      </c>
      <c r="B41" s="1">
        <v>43694</v>
      </c>
      <c r="C41" t="s">
        <v>21</v>
      </c>
      <c r="D41" t="s">
        <v>16</v>
      </c>
      <c r="E41" t="s">
        <v>34</v>
      </c>
      <c r="F41">
        <v>6</v>
      </c>
      <c r="G41" t="s">
        <v>42</v>
      </c>
      <c r="H41" t="s">
        <v>24</v>
      </c>
      <c r="I41">
        <v>1825</v>
      </c>
      <c r="J41" t="s">
        <v>97</v>
      </c>
      <c r="K41" t="s">
        <v>98</v>
      </c>
      <c r="L41" s="1">
        <v>43497</v>
      </c>
    </row>
    <row r="42" spans="1:12" x14ac:dyDescent="0.3">
      <c r="A42">
        <v>1900001606</v>
      </c>
      <c r="B42" s="1">
        <v>43694</v>
      </c>
      <c r="C42" t="s">
        <v>21</v>
      </c>
      <c r="D42" t="s">
        <v>16</v>
      </c>
      <c r="E42" t="s">
        <v>34</v>
      </c>
      <c r="F42">
        <v>6</v>
      </c>
      <c r="G42" t="s">
        <v>42</v>
      </c>
      <c r="H42" t="s">
        <v>24</v>
      </c>
      <c r="I42">
        <v>329250</v>
      </c>
      <c r="J42" t="s">
        <v>99</v>
      </c>
      <c r="K42" t="s">
        <v>84</v>
      </c>
      <c r="L42" s="1">
        <v>43524</v>
      </c>
    </row>
    <row r="43" spans="1:12" x14ac:dyDescent="0.3">
      <c r="A43">
        <v>1900001607</v>
      </c>
      <c r="B43" s="1">
        <v>43694</v>
      </c>
      <c r="C43" t="s">
        <v>21</v>
      </c>
      <c r="D43" t="s">
        <v>16</v>
      </c>
      <c r="E43" t="s">
        <v>22</v>
      </c>
      <c r="F43">
        <v>4</v>
      </c>
      <c r="G43" t="s">
        <v>23</v>
      </c>
      <c r="H43" t="s">
        <v>24</v>
      </c>
      <c r="I43">
        <v>344794</v>
      </c>
      <c r="J43" t="s">
        <v>100</v>
      </c>
      <c r="K43">
        <v>304003763</v>
      </c>
      <c r="L43" s="1">
        <v>43556</v>
      </c>
    </row>
    <row r="44" spans="1:12" x14ac:dyDescent="0.3">
      <c r="A44">
        <v>1900001608</v>
      </c>
      <c r="B44" s="1">
        <v>43694</v>
      </c>
      <c r="C44" t="s">
        <v>21</v>
      </c>
      <c r="D44" t="s">
        <v>16</v>
      </c>
      <c r="E44" t="s">
        <v>22</v>
      </c>
      <c r="F44">
        <v>4</v>
      </c>
      <c r="G44" t="s">
        <v>23</v>
      </c>
      <c r="H44" t="s">
        <v>24</v>
      </c>
      <c r="I44">
        <v>37500</v>
      </c>
      <c r="J44" t="s">
        <v>101</v>
      </c>
      <c r="K44" t="s">
        <v>102</v>
      </c>
      <c r="L44" s="1">
        <v>43556</v>
      </c>
    </row>
    <row r="45" spans="1:12" x14ac:dyDescent="0.3">
      <c r="A45">
        <v>1900001609</v>
      </c>
      <c r="B45" s="1">
        <v>43694</v>
      </c>
      <c r="C45" t="s">
        <v>21</v>
      </c>
      <c r="D45" t="s">
        <v>16</v>
      </c>
      <c r="E45" t="s">
        <v>34</v>
      </c>
      <c r="F45">
        <v>6</v>
      </c>
      <c r="G45" t="s">
        <v>42</v>
      </c>
      <c r="H45" t="s">
        <v>24</v>
      </c>
      <c r="I45">
        <v>49789</v>
      </c>
      <c r="J45" t="s">
        <v>103</v>
      </c>
      <c r="K45" t="s">
        <v>66</v>
      </c>
      <c r="L45" s="1">
        <v>43466</v>
      </c>
    </row>
    <row r="46" spans="1:12" x14ac:dyDescent="0.3">
      <c r="A46">
        <v>1900001610</v>
      </c>
      <c r="B46" s="1">
        <v>43694</v>
      </c>
      <c r="C46" t="s">
        <v>21</v>
      </c>
      <c r="D46" t="s">
        <v>16</v>
      </c>
      <c r="E46" t="s">
        <v>22</v>
      </c>
      <c r="F46">
        <v>4</v>
      </c>
      <c r="G46" t="s">
        <v>23</v>
      </c>
      <c r="H46" t="s">
        <v>24</v>
      </c>
      <c r="I46">
        <v>64</v>
      </c>
      <c r="J46" t="s">
        <v>104</v>
      </c>
      <c r="K46" t="s">
        <v>105</v>
      </c>
      <c r="L46" s="1">
        <v>43540</v>
      </c>
    </row>
    <row r="47" spans="1:12" x14ac:dyDescent="0.3">
      <c r="A47">
        <v>1900001611</v>
      </c>
      <c r="B47" s="1">
        <v>43694</v>
      </c>
      <c r="C47" t="s">
        <v>21</v>
      </c>
      <c r="D47" t="s">
        <v>16</v>
      </c>
      <c r="E47" t="s">
        <v>22</v>
      </c>
      <c r="F47">
        <v>4</v>
      </c>
      <c r="G47" t="s">
        <v>23</v>
      </c>
      <c r="H47" t="s">
        <v>24</v>
      </c>
      <c r="I47">
        <v>6250</v>
      </c>
      <c r="J47" t="s">
        <v>106</v>
      </c>
      <c r="K47" t="s">
        <v>107</v>
      </c>
      <c r="L47" s="1">
        <v>43520</v>
      </c>
    </row>
    <row r="48" spans="1:12" x14ac:dyDescent="0.3">
      <c r="A48">
        <v>1900002041</v>
      </c>
      <c r="B48" s="1">
        <v>43705</v>
      </c>
      <c r="C48" t="s">
        <v>21</v>
      </c>
      <c r="D48" t="s">
        <v>16</v>
      </c>
      <c r="E48" t="s">
        <v>108</v>
      </c>
      <c r="F48">
        <v>1</v>
      </c>
      <c r="G48" t="s">
        <v>28</v>
      </c>
      <c r="H48" t="s">
        <v>24</v>
      </c>
      <c r="I48">
        <v>124875</v>
      </c>
      <c r="J48" t="s">
        <v>109</v>
      </c>
      <c r="K48">
        <v>1.31000501801E+19</v>
      </c>
      <c r="L48" s="1">
        <v>43531</v>
      </c>
    </row>
    <row r="49" spans="1:12" x14ac:dyDescent="0.3">
      <c r="A49">
        <v>1900002042</v>
      </c>
      <c r="B49" s="1">
        <v>43705</v>
      </c>
      <c r="C49" t="s">
        <v>21</v>
      </c>
      <c r="D49" t="s">
        <v>16</v>
      </c>
      <c r="E49" t="s">
        <v>17</v>
      </c>
      <c r="F49">
        <v>3</v>
      </c>
      <c r="G49" t="s">
        <v>56</v>
      </c>
      <c r="H49" t="s">
        <v>29</v>
      </c>
      <c r="I49">
        <v>7783</v>
      </c>
      <c r="J49" t="s">
        <v>110</v>
      </c>
      <c r="K49">
        <v>43190133</v>
      </c>
      <c r="L49" s="1">
        <v>43627</v>
      </c>
    </row>
    <row r="50" spans="1:12" x14ac:dyDescent="0.3">
      <c r="A50">
        <v>1900002043</v>
      </c>
      <c r="B50" s="1">
        <v>43705</v>
      </c>
      <c r="C50" t="s">
        <v>21</v>
      </c>
      <c r="D50" t="s">
        <v>16</v>
      </c>
      <c r="E50" t="s">
        <v>17</v>
      </c>
      <c r="F50">
        <v>3</v>
      </c>
      <c r="G50" t="s">
        <v>56</v>
      </c>
      <c r="H50" t="s">
        <v>29</v>
      </c>
      <c r="I50">
        <v>7835</v>
      </c>
      <c r="J50" t="s">
        <v>111</v>
      </c>
      <c r="K50">
        <v>43189992</v>
      </c>
      <c r="L50" s="1">
        <v>43626</v>
      </c>
    </row>
    <row r="51" spans="1:12" x14ac:dyDescent="0.3">
      <c r="A51">
        <v>1900002044</v>
      </c>
      <c r="B51" s="1">
        <v>43705</v>
      </c>
      <c r="C51" t="s">
        <v>21</v>
      </c>
      <c r="D51" t="s">
        <v>16</v>
      </c>
      <c r="E51" t="s">
        <v>17</v>
      </c>
      <c r="F51">
        <v>5</v>
      </c>
      <c r="G51" t="s">
        <v>35</v>
      </c>
      <c r="H51" t="s">
        <v>19</v>
      </c>
      <c r="I51">
        <v>70125</v>
      </c>
      <c r="J51" t="s">
        <v>112</v>
      </c>
      <c r="K51">
        <v>41045400</v>
      </c>
      <c r="L51" s="1">
        <v>43543</v>
      </c>
    </row>
    <row r="52" spans="1:12" x14ac:dyDescent="0.3">
      <c r="A52">
        <v>1900002045</v>
      </c>
      <c r="B52" s="1">
        <v>43705</v>
      </c>
      <c r="C52" t="s">
        <v>21</v>
      </c>
      <c r="D52" t="s">
        <v>16</v>
      </c>
      <c r="E52" t="s">
        <v>17</v>
      </c>
      <c r="F52">
        <v>5</v>
      </c>
      <c r="G52" t="s">
        <v>35</v>
      </c>
      <c r="H52" t="s">
        <v>19</v>
      </c>
      <c r="I52">
        <v>70125</v>
      </c>
      <c r="J52" t="s">
        <v>113</v>
      </c>
      <c r="K52">
        <v>41045403</v>
      </c>
      <c r="L52" s="1">
        <v>43543</v>
      </c>
    </row>
    <row r="53" spans="1:12" x14ac:dyDescent="0.3">
      <c r="A53">
        <v>1900002046</v>
      </c>
      <c r="B53" s="1">
        <v>43705</v>
      </c>
      <c r="C53" t="s">
        <v>21</v>
      </c>
      <c r="D53" t="s">
        <v>16</v>
      </c>
      <c r="E53" t="s">
        <v>114</v>
      </c>
      <c r="F53">
        <v>13</v>
      </c>
      <c r="G53" t="s">
        <v>45</v>
      </c>
      <c r="H53" t="s">
        <v>24</v>
      </c>
      <c r="I53">
        <v>60229</v>
      </c>
      <c r="J53" t="s">
        <v>115</v>
      </c>
      <c r="K53" t="s">
        <v>116</v>
      </c>
      <c r="L53" s="1">
        <v>43556</v>
      </c>
    </row>
    <row r="54" spans="1:12" x14ac:dyDescent="0.3">
      <c r="A54">
        <v>1900002047</v>
      </c>
      <c r="B54" s="1">
        <v>43705</v>
      </c>
      <c r="C54" t="s">
        <v>21</v>
      </c>
      <c r="D54" t="s">
        <v>16</v>
      </c>
      <c r="E54" t="s">
        <v>114</v>
      </c>
      <c r="F54">
        <v>13</v>
      </c>
      <c r="G54" t="s">
        <v>45</v>
      </c>
      <c r="H54" t="s">
        <v>24</v>
      </c>
      <c r="I54">
        <v>98931</v>
      </c>
      <c r="J54" t="s">
        <v>117</v>
      </c>
      <c r="K54" t="s">
        <v>118</v>
      </c>
      <c r="L54" s="1">
        <v>43481</v>
      </c>
    </row>
    <row r="55" spans="1:12" x14ac:dyDescent="0.3">
      <c r="A55">
        <v>1900002048</v>
      </c>
      <c r="B55" s="1">
        <v>43705</v>
      </c>
      <c r="C55" t="s">
        <v>21</v>
      </c>
      <c r="D55" t="s">
        <v>16</v>
      </c>
      <c r="E55" t="s">
        <v>22</v>
      </c>
      <c r="F55">
        <v>1</v>
      </c>
      <c r="G55" t="s">
        <v>28</v>
      </c>
      <c r="H55" t="s">
        <v>29</v>
      </c>
      <c r="I55">
        <v>21769</v>
      </c>
      <c r="J55" t="s">
        <v>119</v>
      </c>
      <c r="K55" t="s">
        <v>120</v>
      </c>
      <c r="L55" s="1">
        <v>43466</v>
      </c>
    </row>
    <row r="56" spans="1:12" x14ac:dyDescent="0.3">
      <c r="A56">
        <v>1900002049</v>
      </c>
      <c r="B56" s="1">
        <v>43705</v>
      </c>
      <c r="C56" t="s">
        <v>21</v>
      </c>
      <c r="D56" t="s">
        <v>16</v>
      </c>
      <c r="E56" t="s">
        <v>22</v>
      </c>
      <c r="F56">
        <v>4</v>
      </c>
      <c r="G56" t="s">
        <v>23</v>
      </c>
      <c r="H56" t="s">
        <v>24</v>
      </c>
      <c r="I56">
        <v>65369</v>
      </c>
      <c r="J56" t="s">
        <v>121</v>
      </c>
      <c r="K56" t="s">
        <v>122</v>
      </c>
      <c r="L56" s="1">
        <v>43572</v>
      </c>
    </row>
    <row r="57" spans="1:12" x14ac:dyDescent="0.3">
      <c r="A57">
        <v>1900002050</v>
      </c>
      <c r="B57" s="1">
        <v>43705</v>
      </c>
      <c r="C57" t="s">
        <v>21</v>
      </c>
      <c r="D57" t="s">
        <v>16</v>
      </c>
      <c r="E57" t="s">
        <v>22</v>
      </c>
      <c r="F57">
        <v>4</v>
      </c>
      <c r="G57" t="s">
        <v>23</v>
      </c>
      <c r="H57" t="s">
        <v>24</v>
      </c>
      <c r="I57">
        <v>5206</v>
      </c>
      <c r="J57" t="s">
        <v>123</v>
      </c>
      <c r="K57">
        <v>304003761</v>
      </c>
      <c r="L57" s="1">
        <v>43556</v>
      </c>
    </row>
    <row r="58" spans="1:12" x14ac:dyDescent="0.3">
      <c r="A58">
        <v>1900002051</v>
      </c>
      <c r="B58" s="1">
        <v>43705</v>
      </c>
      <c r="C58" t="s">
        <v>21</v>
      </c>
      <c r="D58" t="s">
        <v>16</v>
      </c>
      <c r="E58" t="s">
        <v>22</v>
      </c>
      <c r="F58">
        <v>4</v>
      </c>
      <c r="G58" t="s">
        <v>23</v>
      </c>
      <c r="H58" t="s">
        <v>24</v>
      </c>
      <c r="I58">
        <v>23750</v>
      </c>
      <c r="J58" t="s">
        <v>124</v>
      </c>
      <c r="K58" t="s">
        <v>125</v>
      </c>
      <c r="L58" s="1">
        <v>43533</v>
      </c>
    </row>
    <row r="59" spans="1:12" x14ac:dyDescent="0.3">
      <c r="A59">
        <v>1900002052</v>
      </c>
      <c r="B59" s="1">
        <v>43705</v>
      </c>
      <c r="C59" t="s">
        <v>21</v>
      </c>
      <c r="D59" t="s">
        <v>16</v>
      </c>
      <c r="E59" t="s">
        <v>22</v>
      </c>
      <c r="F59">
        <v>4</v>
      </c>
      <c r="G59" t="s">
        <v>23</v>
      </c>
      <c r="H59" t="s">
        <v>24</v>
      </c>
      <c r="I59">
        <v>1557</v>
      </c>
      <c r="J59" t="s">
        <v>126</v>
      </c>
      <c r="K59" t="s">
        <v>127</v>
      </c>
      <c r="L59" s="1">
        <v>43571</v>
      </c>
    </row>
    <row r="60" spans="1:12" x14ac:dyDescent="0.3">
      <c r="A60">
        <v>1900002072</v>
      </c>
      <c r="B60" s="1">
        <v>43705</v>
      </c>
      <c r="C60" t="s">
        <v>21</v>
      </c>
      <c r="D60" t="s">
        <v>16</v>
      </c>
      <c r="E60" t="s">
        <v>55</v>
      </c>
      <c r="F60">
        <v>13</v>
      </c>
      <c r="G60" t="s">
        <v>45</v>
      </c>
      <c r="H60" t="s">
        <v>29</v>
      </c>
      <c r="I60">
        <v>40960</v>
      </c>
      <c r="J60" t="s">
        <v>128</v>
      </c>
      <c r="K60" t="s">
        <v>129</v>
      </c>
      <c r="L60" s="1">
        <v>43575</v>
      </c>
    </row>
    <row r="61" spans="1:12" x14ac:dyDescent="0.3">
      <c r="A61">
        <v>1900002229</v>
      </c>
      <c r="B61" s="1">
        <v>43708</v>
      </c>
      <c r="C61" t="s">
        <v>21</v>
      </c>
      <c r="D61" t="s">
        <v>16</v>
      </c>
      <c r="E61" t="s">
        <v>55</v>
      </c>
      <c r="F61">
        <v>13</v>
      </c>
      <c r="G61" t="s">
        <v>45</v>
      </c>
      <c r="H61" t="s">
        <v>24</v>
      </c>
      <c r="I61">
        <v>12055</v>
      </c>
      <c r="J61" t="s">
        <v>130</v>
      </c>
      <c r="K61" t="s">
        <v>131</v>
      </c>
      <c r="L61" s="1">
        <v>43510</v>
      </c>
    </row>
    <row r="62" spans="1:12" x14ac:dyDescent="0.3">
      <c r="A62">
        <v>1900002230</v>
      </c>
      <c r="B62" s="1">
        <v>43708</v>
      </c>
      <c r="C62" t="s">
        <v>21</v>
      </c>
      <c r="D62" t="s">
        <v>16</v>
      </c>
      <c r="E62" t="s">
        <v>114</v>
      </c>
      <c r="F62">
        <v>13</v>
      </c>
      <c r="G62" t="s">
        <v>45</v>
      </c>
      <c r="H62" t="s">
        <v>24</v>
      </c>
      <c r="I62">
        <v>131090</v>
      </c>
      <c r="J62" t="s">
        <v>132</v>
      </c>
      <c r="K62" t="s">
        <v>133</v>
      </c>
      <c r="L62" s="1">
        <v>43522</v>
      </c>
    </row>
    <row r="63" spans="1:12" x14ac:dyDescent="0.3">
      <c r="A63">
        <v>1900002232</v>
      </c>
      <c r="B63" s="1">
        <v>43708</v>
      </c>
      <c r="C63" t="s">
        <v>21</v>
      </c>
      <c r="D63" t="s">
        <v>16</v>
      </c>
      <c r="E63" t="s">
        <v>55</v>
      </c>
      <c r="F63">
        <v>13</v>
      </c>
      <c r="G63" t="s">
        <v>45</v>
      </c>
      <c r="H63" t="s">
        <v>24</v>
      </c>
      <c r="I63">
        <v>27069</v>
      </c>
      <c r="J63" t="s">
        <v>134</v>
      </c>
      <c r="K63" t="s">
        <v>135</v>
      </c>
      <c r="L63" s="1">
        <v>43510</v>
      </c>
    </row>
    <row r="64" spans="1:12" x14ac:dyDescent="0.3">
      <c r="A64">
        <v>1900002265</v>
      </c>
      <c r="B64" s="1">
        <v>43708</v>
      </c>
      <c r="C64" t="s">
        <v>21</v>
      </c>
      <c r="D64" t="s">
        <v>16</v>
      </c>
      <c r="E64" t="s">
        <v>22</v>
      </c>
      <c r="F64">
        <v>4</v>
      </c>
      <c r="G64" t="s">
        <v>23</v>
      </c>
      <c r="H64" t="s">
        <v>24</v>
      </c>
      <c r="I64">
        <v>215165</v>
      </c>
      <c r="J64" t="s">
        <v>136</v>
      </c>
      <c r="K64" t="s">
        <v>137</v>
      </c>
      <c r="L64" s="1">
        <v>43556</v>
      </c>
    </row>
    <row r="65" spans="1:12" x14ac:dyDescent="0.3">
      <c r="A65">
        <v>1900002331</v>
      </c>
      <c r="B65" s="1">
        <v>43711</v>
      </c>
      <c r="C65" t="s">
        <v>21</v>
      </c>
      <c r="D65" t="s">
        <v>16</v>
      </c>
      <c r="E65" t="s">
        <v>22</v>
      </c>
      <c r="F65">
        <v>4</v>
      </c>
      <c r="G65" t="s">
        <v>23</v>
      </c>
      <c r="H65" t="s">
        <v>24</v>
      </c>
      <c r="I65">
        <v>870</v>
      </c>
      <c r="J65" t="s">
        <v>138</v>
      </c>
      <c r="K65" t="s">
        <v>139</v>
      </c>
      <c r="L65" s="1">
        <v>43611</v>
      </c>
    </row>
    <row r="66" spans="1:12" x14ac:dyDescent="0.3">
      <c r="A66">
        <v>1900002384</v>
      </c>
      <c r="B66" s="1">
        <v>43713</v>
      </c>
      <c r="C66" t="s">
        <v>21</v>
      </c>
      <c r="D66" t="s">
        <v>16</v>
      </c>
      <c r="E66" t="s">
        <v>108</v>
      </c>
      <c r="F66">
        <v>1</v>
      </c>
      <c r="G66" t="s">
        <v>28</v>
      </c>
      <c r="H66" t="s">
        <v>19</v>
      </c>
      <c r="I66">
        <v>8174</v>
      </c>
      <c r="J66" t="s">
        <v>140</v>
      </c>
      <c r="K66">
        <v>2000010048</v>
      </c>
      <c r="L66" s="1">
        <v>43664</v>
      </c>
    </row>
    <row r="67" spans="1:12" x14ac:dyDescent="0.3">
      <c r="A67">
        <v>1900002387</v>
      </c>
      <c r="B67" s="1">
        <v>43713</v>
      </c>
      <c r="C67" t="s">
        <v>21</v>
      </c>
      <c r="D67" t="s">
        <v>16</v>
      </c>
      <c r="E67" t="s">
        <v>34</v>
      </c>
      <c r="F67">
        <v>6</v>
      </c>
      <c r="G67" t="s">
        <v>42</v>
      </c>
      <c r="H67" t="s">
        <v>24</v>
      </c>
      <c r="I67">
        <v>22246</v>
      </c>
      <c r="J67" t="s">
        <v>141</v>
      </c>
      <c r="K67" t="s">
        <v>142</v>
      </c>
      <c r="L67" s="1">
        <v>43660</v>
      </c>
    </row>
    <row r="68" spans="1:12" x14ac:dyDescent="0.3">
      <c r="A68">
        <v>1900002458</v>
      </c>
      <c r="B68" s="1">
        <v>43717</v>
      </c>
      <c r="C68" t="s">
        <v>21</v>
      </c>
      <c r="D68" t="s">
        <v>16</v>
      </c>
      <c r="E68" t="s">
        <v>17</v>
      </c>
      <c r="F68">
        <v>5</v>
      </c>
      <c r="G68" t="s">
        <v>35</v>
      </c>
      <c r="H68" t="s">
        <v>19</v>
      </c>
      <c r="I68">
        <v>7451</v>
      </c>
      <c r="J68" t="s">
        <v>143</v>
      </c>
      <c r="K68">
        <v>43187020</v>
      </c>
      <c r="L68" s="1">
        <v>43577</v>
      </c>
    </row>
    <row r="69" spans="1:12" x14ac:dyDescent="0.3">
      <c r="A69">
        <v>1900002464</v>
      </c>
      <c r="B69" s="1">
        <v>43717</v>
      </c>
      <c r="C69" t="s">
        <v>21</v>
      </c>
      <c r="D69" t="s">
        <v>16</v>
      </c>
      <c r="E69" t="s">
        <v>34</v>
      </c>
      <c r="F69">
        <v>6</v>
      </c>
      <c r="G69" t="s">
        <v>42</v>
      </c>
      <c r="H69" t="s">
        <v>29</v>
      </c>
      <c r="I69">
        <v>7110</v>
      </c>
      <c r="J69" t="s">
        <v>144</v>
      </c>
      <c r="K69" t="s">
        <v>84</v>
      </c>
      <c r="L69" s="1">
        <v>43675</v>
      </c>
    </row>
    <row r="70" spans="1:12" x14ac:dyDescent="0.3">
      <c r="A70">
        <v>1900002472</v>
      </c>
      <c r="B70" s="1">
        <v>43717</v>
      </c>
      <c r="C70" t="s">
        <v>21</v>
      </c>
      <c r="D70" t="s">
        <v>16</v>
      </c>
      <c r="E70" t="s">
        <v>22</v>
      </c>
      <c r="F70">
        <v>4</v>
      </c>
      <c r="G70" t="s">
        <v>23</v>
      </c>
      <c r="H70" t="s">
        <v>24</v>
      </c>
      <c r="I70">
        <v>692</v>
      </c>
      <c r="J70" t="s">
        <v>145</v>
      </c>
      <c r="K70" t="s">
        <v>146</v>
      </c>
      <c r="L70" s="1">
        <v>43600</v>
      </c>
    </row>
    <row r="71" spans="1:12" x14ac:dyDescent="0.3">
      <c r="A71">
        <v>1900002635</v>
      </c>
      <c r="B71" s="1">
        <v>43725</v>
      </c>
      <c r="C71" t="s">
        <v>21</v>
      </c>
      <c r="D71" t="s">
        <v>16</v>
      </c>
      <c r="E71" t="s">
        <v>108</v>
      </c>
      <c r="F71">
        <v>1</v>
      </c>
      <c r="G71" t="s">
        <v>28</v>
      </c>
      <c r="H71" t="s">
        <v>24</v>
      </c>
      <c r="I71">
        <v>65051</v>
      </c>
      <c r="J71" t="s">
        <v>147</v>
      </c>
      <c r="K71" t="s">
        <v>148</v>
      </c>
      <c r="L71" s="1">
        <v>43466</v>
      </c>
    </row>
    <row r="72" spans="1:12" x14ac:dyDescent="0.3">
      <c r="A72">
        <v>1900002636</v>
      </c>
      <c r="B72" s="1">
        <v>43725</v>
      </c>
      <c r="C72" t="s">
        <v>21</v>
      </c>
      <c r="D72" t="s">
        <v>16</v>
      </c>
      <c r="E72" t="s">
        <v>22</v>
      </c>
      <c r="F72">
        <v>4</v>
      </c>
      <c r="G72" t="s">
        <v>23</v>
      </c>
      <c r="H72" t="s">
        <v>24</v>
      </c>
      <c r="I72">
        <v>1005</v>
      </c>
      <c r="J72" t="s">
        <v>149</v>
      </c>
      <c r="K72" t="s">
        <v>150</v>
      </c>
      <c r="L72" s="1">
        <v>43586</v>
      </c>
    </row>
    <row r="73" spans="1:12" x14ac:dyDescent="0.3">
      <c r="A73">
        <v>1900002637</v>
      </c>
      <c r="B73" s="1">
        <v>43725</v>
      </c>
      <c r="C73" t="s">
        <v>21</v>
      </c>
      <c r="D73" t="s">
        <v>16</v>
      </c>
      <c r="E73" t="s">
        <v>34</v>
      </c>
      <c r="F73">
        <v>6</v>
      </c>
      <c r="G73" t="s">
        <v>42</v>
      </c>
      <c r="H73" t="s">
        <v>29</v>
      </c>
      <c r="I73">
        <v>6259</v>
      </c>
      <c r="J73" t="s">
        <v>151</v>
      </c>
      <c r="K73" t="s">
        <v>84</v>
      </c>
      <c r="L73" s="1">
        <v>43637</v>
      </c>
    </row>
    <row r="74" spans="1:12" x14ac:dyDescent="0.3">
      <c r="A74">
        <v>1900002638</v>
      </c>
      <c r="B74" s="1">
        <v>43725</v>
      </c>
      <c r="C74" t="s">
        <v>21</v>
      </c>
      <c r="D74" t="s">
        <v>16</v>
      </c>
      <c r="E74" t="s">
        <v>34</v>
      </c>
      <c r="F74">
        <v>6</v>
      </c>
      <c r="G74" t="s">
        <v>42</v>
      </c>
      <c r="H74" t="s">
        <v>29</v>
      </c>
      <c r="I74">
        <v>9941</v>
      </c>
      <c r="J74" t="s">
        <v>152</v>
      </c>
      <c r="K74" t="s">
        <v>44</v>
      </c>
      <c r="L74" s="1">
        <v>43656</v>
      </c>
    </row>
    <row r="75" spans="1:12" x14ac:dyDescent="0.3">
      <c r="A75">
        <v>1900002639</v>
      </c>
      <c r="B75" s="1">
        <v>43725</v>
      </c>
      <c r="C75" t="s">
        <v>21</v>
      </c>
      <c r="D75" t="s">
        <v>16</v>
      </c>
      <c r="E75" t="s">
        <v>22</v>
      </c>
      <c r="F75">
        <v>1</v>
      </c>
      <c r="G75" t="s">
        <v>28</v>
      </c>
      <c r="H75" t="s">
        <v>29</v>
      </c>
      <c r="I75">
        <v>9990</v>
      </c>
      <c r="J75" t="s">
        <v>153</v>
      </c>
      <c r="K75" t="s">
        <v>154</v>
      </c>
      <c r="L75" s="1">
        <v>43608</v>
      </c>
    </row>
    <row r="76" spans="1:12" x14ac:dyDescent="0.3">
      <c r="A76">
        <v>1900002640</v>
      </c>
      <c r="B76" s="1">
        <v>43725</v>
      </c>
      <c r="C76" t="s">
        <v>21</v>
      </c>
      <c r="D76" t="s">
        <v>16</v>
      </c>
      <c r="E76" t="s">
        <v>34</v>
      </c>
      <c r="F76">
        <v>6</v>
      </c>
      <c r="G76" t="s">
        <v>42</v>
      </c>
      <c r="H76" t="s">
        <v>24</v>
      </c>
      <c r="I76">
        <v>74673</v>
      </c>
      <c r="J76" t="s">
        <v>155</v>
      </c>
      <c r="K76" t="s">
        <v>156</v>
      </c>
      <c r="L76" s="1">
        <v>43645</v>
      </c>
    </row>
    <row r="77" spans="1:12" x14ac:dyDescent="0.3">
      <c r="A77">
        <v>1900002880</v>
      </c>
      <c r="B77" s="1">
        <v>43728</v>
      </c>
      <c r="C77" t="s">
        <v>21</v>
      </c>
      <c r="D77" t="s">
        <v>16</v>
      </c>
      <c r="E77" t="s">
        <v>22</v>
      </c>
      <c r="F77">
        <v>4</v>
      </c>
      <c r="G77" t="s">
        <v>23</v>
      </c>
      <c r="H77" t="s">
        <v>24</v>
      </c>
      <c r="I77">
        <v>4362</v>
      </c>
      <c r="J77" t="s">
        <v>157</v>
      </c>
      <c r="K77" t="s">
        <v>158</v>
      </c>
      <c r="L77" s="1">
        <v>43557</v>
      </c>
    </row>
    <row r="78" spans="1:12" x14ac:dyDescent="0.3">
      <c r="A78">
        <v>1900003129</v>
      </c>
      <c r="B78" s="1">
        <v>43738</v>
      </c>
      <c r="C78" t="s">
        <v>21</v>
      </c>
      <c r="D78" t="s">
        <v>16</v>
      </c>
      <c r="E78" t="s">
        <v>114</v>
      </c>
      <c r="F78">
        <v>13</v>
      </c>
      <c r="G78" t="s">
        <v>45</v>
      </c>
      <c r="H78" t="s">
        <v>24</v>
      </c>
      <c r="I78">
        <v>1610</v>
      </c>
      <c r="J78" t="s">
        <v>159</v>
      </c>
      <c r="K78" t="s">
        <v>160</v>
      </c>
      <c r="L78" s="1">
        <v>43510</v>
      </c>
    </row>
    <row r="79" spans="1:12" x14ac:dyDescent="0.3">
      <c r="A79">
        <v>1900003131</v>
      </c>
      <c r="B79" s="1">
        <v>43738</v>
      </c>
      <c r="C79" t="s">
        <v>21</v>
      </c>
      <c r="D79" t="s">
        <v>16</v>
      </c>
      <c r="E79" t="s">
        <v>22</v>
      </c>
      <c r="F79">
        <v>4</v>
      </c>
      <c r="G79" t="s">
        <v>23</v>
      </c>
      <c r="H79" t="s">
        <v>24</v>
      </c>
      <c r="I79">
        <v>20166</v>
      </c>
      <c r="J79" t="s">
        <v>161</v>
      </c>
      <c r="K79">
        <v>3.1142011248201999E+18</v>
      </c>
      <c r="L79" s="1">
        <v>43647</v>
      </c>
    </row>
    <row r="80" spans="1:12" x14ac:dyDescent="0.3">
      <c r="A80">
        <v>1900003209</v>
      </c>
      <c r="B80" s="1">
        <v>43748</v>
      </c>
      <c r="C80" t="s">
        <v>21</v>
      </c>
      <c r="D80" t="s">
        <v>16</v>
      </c>
      <c r="E80" t="s">
        <v>34</v>
      </c>
      <c r="F80">
        <v>6</v>
      </c>
      <c r="G80" t="s">
        <v>42</v>
      </c>
      <c r="H80" t="s">
        <v>24</v>
      </c>
      <c r="I80">
        <v>8605</v>
      </c>
      <c r="J80" t="s">
        <v>162</v>
      </c>
      <c r="K80" t="s">
        <v>163</v>
      </c>
      <c r="L80" s="1">
        <v>43645</v>
      </c>
    </row>
    <row r="81" spans="1:12" x14ac:dyDescent="0.3">
      <c r="A81">
        <v>1900003210</v>
      </c>
      <c r="B81" s="1">
        <v>43748</v>
      </c>
      <c r="C81" t="s">
        <v>21</v>
      </c>
      <c r="D81" t="s">
        <v>16</v>
      </c>
      <c r="E81" t="s">
        <v>34</v>
      </c>
      <c r="F81">
        <v>6</v>
      </c>
      <c r="G81" t="s">
        <v>42</v>
      </c>
      <c r="H81" t="s">
        <v>24</v>
      </c>
      <c r="I81">
        <v>52500</v>
      </c>
      <c r="J81" t="s">
        <v>164</v>
      </c>
      <c r="K81" t="s">
        <v>165</v>
      </c>
      <c r="L81" s="1">
        <v>43602</v>
      </c>
    </row>
    <row r="82" spans="1:12" x14ac:dyDescent="0.3">
      <c r="A82">
        <v>1900003211</v>
      </c>
      <c r="B82" s="1">
        <v>43748</v>
      </c>
      <c r="C82" t="s">
        <v>21</v>
      </c>
      <c r="D82" t="s">
        <v>16</v>
      </c>
      <c r="E82" t="s">
        <v>17</v>
      </c>
      <c r="F82">
        <v>13</v>
      </c>
      <c r="G82" t="s">
        <v>45</v>
      </c>
      <c r="H82" t="s">
        <v>29</v>
      </c>
      <c r="I82">
        <v>21875</v>
      </c>
      <c r="J82" t="s">
        <v>166</v>
      </c>
      <c r="K82" t="s">
        <v>167</v>
      </c>
      <c r="L82" s="1">
        <v>43497</v>
      </c>
    </row>
    <row r="83" spans="1:12" x14ac:dyDescent="0.3">
      <c r="A83">
        <v>1900003212</v>
      </c>
      <c r="B83" s="1">
        <v>43748</v>
      </c>
      <c r="C83" t="s">
        <v>21</v>
      </c>
      <c r="D83" t="s">
        <v>16</v>
      </c>
      <c r="E83" t="s">
        <v>34</v>
      </c>
      <c r="F83">
        <v>6</v>
      </c>
      <c r="G83" t="s">
        <v>42</v>
      </c>
      <c r="H83" t="s">
        <v>29</v>
      </c>
      <c r="I83">
        <v>93906</v>
      </c>
      <c r="J83" t="s">
        <v>168</v>
      </c>
      <c r="K83" t="s">
        <v>44</v>
      </c>
      <c r="L83" s="1">
        <v>43531</v>
      </c>
    </row>
    <row r="84" spans="1:12" x14ac:dyDescent="0.3">
      <c r="A84">
        <v>1900003213</v>
      </c>
      <c r="B84" s="1">
        <v>43748</v>
      </c>
      <c r="C84" t="s">
        <v>21</v>
      </c>
      <c r="D84" t="s">
        <v>16</v>
      </c>
      <c r="E84" t="s">
        <v>34</v>
      </c>
      <c r="F84">
        <v>6</v>
      </c>
      <c r="G84" t="s">
        <v>42</v>
      </c>
      <c r="H84" t="s">
        <v>24</v>
      </c>
      <c r="I84">
        <v>23387</v>
      </c>
      <c r="J84" t="s">
        <v>169</v>
      </c>
      <c r="K84">
        <v>54407334</v>
      </c>
      <c r="L84" s="1">
        <v>43466</v>
      </c>
    </row>
    <row r="85" spans="1:12" x14ac:dyDescent="0.3">
      <c r="A85">
        <v>1900003214</v>
      </c>
      <c r="B85" s="1">
        <v>43748</v>
      </c>
      <c r="C85" t="s">
        <v>21</v>
      </c>
      <c r="D85" t="s">
        <v>16</v>
      </c>
      <c r="E85" t="s">
        <v>34</v>
      </c>
      <c r="F85">
        <v>6</v>
      </c>
      <c r="G85" t="s">
        <v>42</v>
      </c>
      <c r="H85" t="s">
        <v>24</v>
      </c>
      <c r="I85">
        <v>3347</v>
      </c>
      <c r="J85" t="s">
        <v>170</v>
      </c>
      <c r="K85" t="s">
        <v>171</v>
      </c>
      <c r="L85" s="1">
        <v>43556</v>
      </c>
    </row>
    <row r="86" spans="1:12" x14ac:dyDescent="0.3">
      <c r="A86">
        <v>1900003404</v>
      </c>
      <c r="B86" s="1">
        <v>43755</v>
      </c>
      <c r="C86" t="s">
        <v>21</v>
      </c>
      <c r="D86" t="s">
        <v>16</v>
      </c>
      <c r="E86" t="s">
        <v>17</v>
      </c>
      <c r="F86">
        <v>2</v>
      </c>
      <c r="G86" t="s">
        <v>52</v>
      </c>
      <c r="H86" t="s">
        <v>29</v>
      </c>
      <c r="I86">
        <v>60025</v>
      </c>
      <c r="J86" t="s">
        <v>172</v>
      </c>
      <c r="K86">
        <v>2.9992028733097999E+18</v>
      </c>
      <c r="L86" s="1">
        <v>43654</v>
      </c>
    </row>
    <row r="87" spans="1:12" x14ac:dyDescent="0.3">
      <c r="A87">
        <v>1900003405</v>
      </c>
      <c r="B87" s="1">
        <v>43755</v>
      </c>
      <c r="C87" t="s">
        <v>21</v>
      </c>
      <c r="D87" t="s">
        <v>16</v>
      </c>
      <c r="E87" t="s">
        <v>67</v>
      </c>
      <c r="F87">
        <v>13</v>
      </c>
      <c r="G87" t="s">
        <v>45</v>
      </c>
      <c r="H87" t="s">
        <v>24</v>
      </c>
      <c r="I87">
        <v>13613</v>
      </c>
      <c r="J87" t="s">
        <v>173</v>
      </c>
      <c r="K87" t="s">
        <v>174</v>
      </c>
      <c r="L87" s="1">
        <v>43472</v>
      </c>
    </row>
    <row r="88" spans="1:12" x14ac:dyDescent="0.3">
      <c r="A88">
        <v>1900003406</v>
      </c>
      <c r="B88" s="1">
        <v>43755</v>
      </c>
      <c r="C88" t="s">
        <v>21</v>
      </c>
      <c r="D88" t="s">
        <v>16</v>
      </c>
      <c r="E88" t="s">
        <v>34</v>
      </c>
      <c r="F88">
        <v>5</v>
      </c>
      <c r="G88" t="s">
        <v>35</v>
      </c>
      <c r="H88" t="s">
        <v>19</v>
      </c>
      <c r="I88">
        <v>79834</v>
      </c>
      <c r="J88" t="s">
        <v>175</v>
      </c>
      <c r="K88" t="s">
        <v>176</v>
      </c>
      <c r="L88" s="1">
        <v>43641</v>
      </c>
    </row>
    <row r="89" spans="1:12" x14ac:dyDescent="0.3">
      <c r="A89">
        <v>1900003407</v>
      </c>
      <c r="B89" s="1">
        <v>43755</v>
      </c>
      <c r="C89" t="s">
        <v>21</v>
      </c>
      <c r="D89" t="s">
        <v>16</v>
      </c>
      <c r="E89" t="s">
        <v>17</v>
      </c>
      <c r="F89">
        <v>2</v>
      </c>
      <c r="G89" t="s">
        <v>52</v>
      </c>
      <c r="H89" t="s">
        <v>29</v>
      </c>
      <c r="I89">
        <v>60025</v>
      </c>
      <c r="J89" t="s">
        <v>177</v>
      </c>
      <c r="K89">
        <v>2.9992028732742001E+18</v>
      </c>
      <c r="L89" s="1">
        <v>43654</v>
      </c>
    </row>
    <row r="90" spans="1:12" x14ac:dyDescent="0.3">
      <c r="A90">
        <v>1900003928</v>
      </c>
      <c r="B90" s="1">
        <v>43781</v>
      </c>
      <c r="C90" t="s">
        <v>21</v>
      </c>
      <c r="D90" t="s">
        <v>16</v>
      </c>
      <c r="E90" t="s">
        <v>17</v>
      </c>
      <c r="F90">
        <v>10</v>
      </c>
      <c r="G90" t="s">
        <v>18</v>
      </c>
      <c r="H90" t="s">
        <v>29</v>
      </c>
      <c r="I90">
        <v>63000</v>
      </c>
      <c r="J90" t="s">
        <v>178</v>
      </c>
      <c r="K90">
        <v>14055133</v>
      </c>
      <c r="L90" s="1">
        <v>43672</v>
      </c>
    </row>
    <row r="91" spans="1:12" x14ac:dyDescent="0.3">
      <c r="A91">
        <v>1900003930</v>
      </c>
      <c r="B91" s="1">
        <v>43781</v>
      </c>
      <c r="C91" t="s">
        <v>15</v>
      </c>
      <c r="D91" t="s">
        <v>16</v>
      </c>
      <c r="E91" t="s">
        <v>55</v>
      </c>
      <c r="F91">
        <v>2</v>
      </c>
      <c r="G91" t="s">
        <v>52</v>
      </c>
      <c r="H91" t="s">
        <v>29</v>
      </c>
      <c r="I91">
        <v>100000</v>
      </c>
      <c r="J91" t="s">
        <v>179</v>
      </c>
      <c r="L91" s="1">
        <v>43663</v>
      </c>
    </row>
    <row r="92" spans="1:12" x14ac:dyDescent="0.3">
      <c r="A92">
        <v>1900003931</v>
      </c>
      <c r="B92" s="1">
        <v>43781</v>
      </c>
      <c r="C92" t="s">
        <v>15</v>
      </c>
      <c r="D92" t="s">
        <v>16</v>
      </c>
      <c r="E92" t="s">
        <v>55</v>
      </c>
      <c r="F92">
        <v>2</v>
      </c>
      <c r="G92" t="s">
        <v>52</v>
      </c>
      <c r="H92" t="s">
        <v>29</v>
      </c>
      <c r="I92">
        <v>100000</v>
      </c>
      <c r="J92" t="s">
        <v>180</v>
      </c>
      <c r="L92" s="1">
        <v>43486</v>
      </c>
    </row>
    <row r="93" spans="1:12" x14ac:dyDescent="0.3">
      <c r="A93">
        <v>1900004171</v>
      </c>
      <c r="B93" s="1">
        <v>43795</v>
      </c>
      <c r="C93" t="s">
        <v>15</v>
      </c>
      <c r="D93" t="s">
        <v>16</v>
      </c>
      <c r="E93" t="s">
        <v>22</v>
      </c>
      <c r="F93">
        <v>4</v>
      </c>
      <c r="G93" t="s">
        <v>23</v>
      </c>
      <c r="H93" t="s">
        <v>24</v>
      </c>
      <c r="I93">
        <v>254336</v>
      </c>
      <c r="J93" t="s">
        <v>181</v>
      </c>
      <c r="L93" s="1">
        <v>43490</v>
      </c>
    </row>
    <row r="94" spans="1:12" x14ac:dyDescent="0.3">
      <c r="A94">
        <v>1900004173</v>
      </c>
      <c r="B94" s="1">
        <v>43795</v>
      </c>
      <c r="C94" t="s">
        <v>15</v>
      </c>
      <c r="D94" t="s">
        <v>16</v>
      </c>
      <c r="E94" t="s">
        <v>22</v>
      </c>
      <c r="F94">
        <v>4</v>
      </c>
      <c r="G94" t="s">
        <v>23</v>
      </c>
      <c r="H94" t="s">
        <v>24</v>
      </c>
      <c r="I94">
        <v>266949</v>
      </c>
      <c r="J94" t="s">
        <v>182</v>
      </c>
      <c r="L94" s="1">
        <v>43490</v>
      </c>
    </row>
    <row r="95" spans="1:12" x14ac:dyDescent="0.3">
      <c r="A95">
        <v>1900004220</v>
      </c>
      <c r="B95" s="1">
        <v>43802</v>
      </c>
      <c r="C95" t="s">
        <v>21</v>
      </c>
      <c r="D95" t="s">
        <v>16</v>
      </c>
      <c r="E95" t="s">
        <v>34</v>
      </c>
      <c r="F95">
        <v>6</v>
      </c>
      <c r="G95" t="s">
        <v>42</v>
      </c>
      <c r="H95" t="s">
        <v>24</v>
      </c>
      <c r="I95">
        <v>11111</v>
      </c>
      <c r="J95" t="s">
        <v>183</v>
      </c>
      <c r="K95">
        <v>54445288</v>
      </c>
      <c r="L95" s="1">
        <v>43524</v>
      </c>
    </row>
    <row r="96" spans="1:12" x14ac:dyDescent="0.3">
      <c r="A96">
        <v>1900004221</v>
      </c>
      <c r="B96" s="1">
        <v>43802</v>
      </c>
      <c r="C96" t="s">
        <v>21</v>
      </c>
      <c r="D96" t="s">
        <v>16</v>
      </c>
      <c r="E96" t="s">
        <v>55</v>
      </c>
      <c r="F96">
        <v>3</v>
      </c>
      <c r="G96" t="s">
        <v>56</v>
      </c>
      <c r="H96" t="s">
        <v>29</v>
      </c>
      <c r="I96">
        <v>3008</v>
      </c>
      <c r="J96" t="s">
        <v>184</v>
      </c>
      <c r="K96">
        <v>9.9000044190299996E+19</v>
      </c>
      <c r="L96" s="1">
        <v>43567</v>
      </c>
    </row>
    <row r="97" spans="1:12" x14ac:dyDescent="0.3">
      <c r="A97">
        <v>1900004376</v>
      </c>
      <c r="B97" s="1">
        <v>43804</v>
      </c>
      <c r="C97" t="s">
        <v>21</v>
      </c>
      <c r="D97" t="s">
        <v>16</v>
      </c>
      <c r="E97" t="s">
        <v>17</v>
      </c>
      <c r="F97">
        <v>3</v>
      </c>
      <c r="G97" t="s">
        <v>56</v>
      </c>
      <c r="H97" t="s">
        <v>29</v>
      </c>
      <c r="I97">
        <v>6184</v>
      </c>
      <c r="J97" t="s">
        <v>185</v>
      </c>
      <c r="K97">
        <v>43193940</v>
      </c>
      <c r="L97" s="1">
        <v>43684</v>
      </c>
    </row>
    <row r="98" spans="1:12" x14ac:dyDescent="0.3">
      <c r="A98">
        <v>1900004378</v>
      </c>
      <c r="B98" s="1">
        <v>43804</v>
      </c>
      <c r="C98" t="s">
        <v>21</v>
      </c>
      <c r="D98" t="s">
        <v>16</v>
      </c>
      <c r="E98" t="s">
        <v>114</v>
      </c>
      <c r="F98">
        <v>5</v>
      </c>
      <c r="G98" t="s">
        <v>35</v>
      </c>
      <c r="H98" t="s">
        <v>19</v>
      </c>
      <c r="I98">
        <v>1568</v>
      </c>
      <c r="J98" t="s">
        <v>186</v>
      </c>
      <c r="K98" t="s">
        <v>187</v>
      </c>
      <c r="L98" s="1">
        <v>43504</v>
      </c>
    </row>
    <row r="99" spans="1:12" x14ac:dyDescent="0.3">
      <c r="A99">
        <v>1900004380</v>
      </c>
      <c r="B99" s="1">
        <v>43804</v>
      </c>
      <c r="C99" t="s">
        <v>21</v>
      </c>
      <c r="D99" t="s">
        <v>16</v>
      </c>
      <c r="E99" t="s">
        <v>34</v>
      </c>
      <c r="F99">
        <v>6</v>
      </c>
      <c r="G99" t="s">
        <v>42</v>
      </c>
      <c r="H99" t="s">
        <v>29</v>
      </c>
      <c r="I99">
        <v>18901</v>
      </c>
      <c r="J99" t="s">
        <v>188</v>
      </c>
      <c r="K99" t="s">
        <v>44</v>
      </c>
      <c r="L99" s="1">
        <v>43722</v>
      </c>
    </row>
    <row r="100" spans="1:12" x14ac:dyDescent="0.3">
      <c r="A100">
        <v>1900004382</v>
      </c>
      <c r="B100" s="1">
        <v>43804</v>
      </c>
      <c r="C100" t="s">
        <v>21</v>
      </c>
      <c r="D100" t="s">
        <v>16</v>
      </c>
      <c r="E100" t="s">
        <v>34</v>
      </c>
      <c r="F100">
        <v>6</v>
      </c>
      <c r="G100" t="s">
        <v>42</v>
      </c>
      <c r="H100" t="s">
        <v>19</v>
      </c>
      <c r="I100">
        <v>27682</v>
      </c>
      <c r="J100" t="s">
        <v>189</v>
      </c>
      <c r="K100" t="s">
        <v>44</v>
      </c>
      <c r="L100" s="1">
        <v>43691</v>
      </c>
    </row>
    <row r="101" spans="1:12" x14ac:dyDescent="0.3">
      <c r="A101">
        <v>1900004383</v>
      </c>
      <c r="B101" s="1">
        <v>43804</v>
      </c>
      <c r="C101" t="s">
        <v>21</v>
      </c>
      <c r="D101" t="s">
        <v>16</v>
      </c>
      <c r="E101" t="s">
        <v>34</v>
      </c>
      <c r="F101">
        <v>6</v>
      </c>
      <c r="G101" t="s">
        <v>42</v>
      </c>
      <c r="H101" t="s">
        <v>29</v>
      </c>
      <c r="I101">
        <v>5501</v>
      </c>
      <c r="J101" t="s">
        <v>190</v>
      </c>
      <c r="K101" t="s">
        <v>84</v>
      </c>
      <c r="L101" s="1">
        <v>43759</v>
      </c>
    </row>
    <row r="102" spans="1:12" x14ac:dyDescent="0.3">
      <c r="A102">
        <v>1900004384</v>
      </c>
      <c r="B102" s="1">
        <v>43804</v>
      </c>
      <c r="C102" t="s">
        <v>21</v>
      </c>
      <c r="D102" t="s">
        <v>16</v>
      </c>
      <c r="E102" t="s">
        <v>34</v>
      </c>
      <c r="F102">
        <v>6</v>
      </c>
      <c r="G102" t="s">
        <v>42</v>
      </c>
      <c r="H102" t="s">
        <v>24</v>
      </c>
      <c r="I102">
        <v>123750</v>
      </c>
      <c r="J102" t="s">
        <v>191</v>
      </c>
      <c r="K102" t="s">
        <v>192</v>
      </c>
      <c r="L102" s="1">
        <v>43738</v>
      </c>
    </row>
    <row r="103" spans="1:12" x14ac:dyDescent="0.3">
      <c r="A103">
        <v>1900004404</v>
      </c>
      <c r="B103" s="1">
        <v>43805</v>
      </c>
      <c r="C103" t="s">
        <v>21</v>
      </c>
      <c r="D103" t="s">
        <v>16</v>
      </c>
      <c r="E103" t="s">
        <v>22</v>
      </c>
      <c r="F103">
        <v>4</v>
      </c>
      <c r="G103" t="s">
        <v>23</v>
      </c>
      <c r="H103" t="s">
        <v>24</v>
      </c>
      <c r="I103">
        <v>825</v>
      </c>
      <c r="J103" t="s">
        <v>193</v>
      </c>
      <c r="K103" t="s">
        <v>194</v>
      </c>
      <c r="L103" s="1">
        <v>43647</v>
      </c>
    </row>
    <row r="104" spans="1:12" x14ac:dyDescent="0.3">
      <c r="A104">
        <v>1900004408</v>
      </c>
      <c r="B104" s="1">
        <v>43805</v>
      </c>
      <c r="C104" t="s">
        <v>21</v>
      </c>
      <c r="D104" t="s">
        <v>16</v>
      </c>
      <c r="E104" t="s">
        <v>22</v>
      </c>
      <c r="F104">
        <v>4</v>
      </c>
      <c r="G104" t="s">
        <v>23</v>
      </c>
      <c r="H104" t="s">
        <v>24</v>
      </c>
      <c r="I104">
        <v>1556</v>
      </c>
      <c r="J104" t="s">
        <v>195</v>
      </c>
      <c r="K104" t="s">
        <v>196</v>
      </c>
      <c r="L104" s="1">
        <v>43647</v>
      </c>
    </row>
    <row r="105" spans="1:12" x14ac:dyDescent="0.3">
      <c r="A105">
        <v>1900004411</v>
      </c>
      <c r="B105" s="1">
        <v>43805</v>
      </c>
      <c r="C105" t="s">
        <v>21</v>
      </c>
      <c r="D105" t="s">
        <v>16</v>
      </c>
      <c r="E105" t="s">
        <v>22</v>
      </c>
      <c r="F105">
        <v>4</v>
      </c>
      <c r="G105" t="s">
        <v>23</v>
      </c>
      <c r="H105" t="s">
        <v>24</v>
      </c>
      <c r="I105">
        <v>12350</v>
      </c>
      <c r="J105" t="s">
        <v>197</v>
      </c>
      <c r="K105" t="s">
        <v>198</v>
      </c>
      <c r="L105" s="1">
        <v>43647</v>
      </c>
    </row>
    <row r="106" spans="1:12" x14ac:dyDescent="0.3">
      <c r="A106">
        <v>1900004474</v>
      </c>
      <c r="B106" s="1">
        <v>43808</v>
      </c>
      <c r="C106" t="s">
        <v>21</v>
      </c>
      <c r="D106" t="s">
        <v>16</v>
      </c>
      <c r="E106" t="s">
        <v>67</v>
      </c>
      <c r="F106">
        <v>3</v>
      </c>
      <c r="G106" t="s">
        <v>56</v>
      </c>
      <c r="H106" t="s">
        <v>29</v>
      </c>
      <c r="I106">
        <v>15593</v>
      </c>
      <c r="J106" t="s">
        <v>199</v>
      </c>
      <c r="K106" t="s">
        <v>200</v>
      </c>
      <c r="L106" s="1">
        <v>43477</v>
      </c>
    </row>
    <row r="107" spans="1:12" x14ac:dyDescent="0.3">
      <c r="A107">
        <v>1900004500</v>
      </c>
      <c r="B107" s="1">
        <v>43808</v>
      </c>
      <c r="C107" t="s">
        <v>21</v>
      </c>
      <c r="D107" t="s">
        <v>16</v>
      </c>
      <c r="E107" t="s">
        <v>55</v>
      </c>
      <c r="F107">
        <v>3</v>
      </c>
      <c r="G107" t="s">
        <v>56</v>
      </c>
      <c r="H107" t="s">
        <v>29</v>
      </c>
      <c r="I107">
        <v>2212</v>
      </c>
      <c r="J107" t="s">
        <v>201</v>
      </c>
      <c r="K107">
        <v>9.9000044190300006E+17</v>
      </c>
      <c r="L107" s="1">
        <v>43565</v>
      </c>
    </row>
    <row r="108" spans="1:12" x14ac:dyDescent="0.3">
      <c r="A108">
        <v>1900004501</v>
      </c>
      <c r="B108" s="1">
        <v>43808</v>
      </c>
      <c r="C108" t="s">
        <v>21</v>
      </c>
      <c r="D108" t="s">
        <v>16</v>
      </c>
      <c r="E108" t="s">
        <v>34</v>
      </c>
      <c r="F108">
        <v>3</v>
      </c>
      <c r="G108" t="s">
        <v>56</v>
      </c>
      <c r="H108" t="s">
        <v>29</v>
      </c>
      <c r="I108">
        <v>9056</v>
      </c>
      <c r="J108" t="s">
        <v>202</v>
      </c>
      <c r="K108">
        <v>54522170</v>
      </c>
      <c r="L108" s="1">
        <v>43655</v>
      </c>
    </row>
    <row r="109" spans="1:12" x14ac:dyDescent="0.3">
      <c r="A109">
        <v>1900004503</v>
      </c>
      <c r="B109" s="1">
        <v>43809</v>
      </c>
      <c r="C109" t="s">
        <v>21</v>
      </c>
      <c r="D109" t="s">
        <v>16</v>
      </c>
      <c r="E109" t="s">
        <v>22</v>
      </c>
      <c r="F109">
        <v>4</v>
      </c>
      <c r="G109" t="s">
        <v>23</v>
      </c>
      <c r="H109" t="s">
        <v>24</v>
      </c>
      <c r="I109">
        <v>1897</v>
      </c>
      <c r="J109" t="s">
        <v>203</v>
      </c>
      <c r="K109" t="s">
        <v>204</v>
      </c>
      <c r="L109" s="1">
        <v>43647</v>
      </c>
    </row>
    <row r="110" spans="1:12" x14ac:dyDescent="0.3">
      <c r="A110">
        <v>1900004505</v>
      </c>
      <c r="B110" s="1">
        <v>43809</v>
      </c>
      <c r="C110" t="s">
        <v>21</v>
      </c>
      <c r="D110" t="s">
        <v>16</v>
      </c>
      <c r="E110" t="s">
        <v>22</v>
      </c>
      <c r="F110">
        <v>4</v>
      </c>
      <c r="G110" t="s">
        <v>23</v>
      </c>
      <c r="H110" t="s">
        <v>24</v>
      </c>
      <c r="I110">
        <v>42500</v>
      </c>
      <c r="J110" t="s">
        <v>205</v>
      </c>
      <c r="K110" t="s">
        <v>206</v>
      </c>
      <c r="L110" s="1">
        <v>43647</v>
      </c>
    </row>
    <row r="111" spans="1:12" x14ac:dyDescent="0.3">
      <c r="A111">
        <v>1900004507</v>
      </c>
      <c r="B111" s="1">
        <v>43809</v>
      </c>
      <c r="C111" t="s">
        <v>21</v>
      </c>
      <c r="D111" t="s">
        <v>16</v>
      </c>
      <c r="E111" t="s">
        <v>22</v>
      </c>
      <c r="F111">
        <v>4</v>
      </c>
      <c r="G111" t="s">
        <v>23</v>
      </c>
      <c r="H111" t="s">
        <v>24</v>
      </c>
      <c r="I111">
        <v>10917</v>
      </c>
      <c r="J111" t="s">
        <v>207</v>
      </c>
      <c r="K111" t="s">
        <v>208</v>
      </c>
      <c r="L111" s="1">
        <v>43647</v>
      </c>
    </row>
    <row r="112" spans="1:12" x14ac:dyDescent="0.3">
      <c r="A112">
        <v>1900004518</v>
      </c>
      <c r="B112" s="1">
        <v>43809</v>
      </c>
      <c r="C112" t="s">
        <v>21</v>
      </c>
      <c r="D112" t="s">
        <v>16</v>
      </c>
      <c r="E112" t="s">
        <v>22</v>
      </c>
      <c r="F112">
        <v>4</v>
      </c>
      <c r="G112" t="s">
        <v>23</v>
      </c>
      <c r="H112" t="s">
        <v>24</v>
      </c>
      <c r="I112">
        <v>3375</v>
      </c>
      <c r="J112" t="s">
        <v>209</v>
      </c>
      <c r="K112" t="s">
        <v>210</v>
      </c>
      <c r="L112" s="1">
        <v>43647</v>
      </c>
    </row>
    <row r="113" spans="1:12" x14ac:dyDescent="0.3">
      <c r="A113">
        <v>1900004535</v>
      </c>
      <c r="B113" s="1">
        <v>43809</v>
      </c>
      <c r="C113" t="s">
        <v>15</v>
      </c>
      <c r="D113" t="s">
        <v>16</v>
      </c>
      <c r="E113" t="s">
        <v>22</v>
      </c>
      <c r="F113">
        <v>4</v>
      </c>
      <c r="G113" t="s">
        <v>23</v>
      </c>
      <c r="H113" t="s">
        <v>24</v>
      </c>
      <c r="I113">
        <v>320175</v>
      </c>
      <c r="J113" t="s">
        <v>211</v>
      </c>
      <c r="K113" t="s">
        <v>212</v>
      </c>
      <c r="L113" s="1">
        <v>43805</v>
      </c>
    </row>
    <row r="114" spans="1:12" x14ac:dyDescent="0.3">
      <c r="A114">
        <v>1900004535</v>
      </c>
      <c r="B114" s="1">
        <v>43809</v>
      </c>
      <c r="C114" t="s">
        <v>15</v>
      </c>
      <c r="D114" t="s">
        <v>16</v>
      </c>
      <c r="E114" t="s">
        <v>22</v>
      </c>
      <c r="F114">
        <v>4</v>
      </c>
      <c r="G114" t="s">
        <v>23</v>
      </c>
      <c r="H114" t="s">
        <v>24</v>
      </c>
      <c r="I114">
        <v>320175</v>
      </c>
      <c r="J114" t="s">
        <v>213</v>
      </c>
      <c r="K114">
        <v>3.1242015891005998E+18</v>
      </c>
      <c r="L114" s="1">
        <v>43805</v>
      </c>
    </row>
    <row r="115" spans="1:12" x14ac:dyDescent="0.3">
      <c r="A115">
        <v>1900004535</v>
      </c>
      <c r="B115" s="1">
        <v>43809</v>
      </c>
      <c r="C115" t="s">
        <v>15</v>
      </c>
      <c r="D115" t="s">
        <v>16</v>
      </c>
      <c r="E115" t="s">
        <v>22</v>
      </c>
      <c r="F115">
        <v>4</v>
      </c>
      <c r="G115" t="s">
        <v>23</v>
      </c>
      <c r="H115" t="s">
        <v>24</v>
      </c>
      <c r="I115">
        <v>320175</v>
      </c>
      <c r="J115" t="s">
        <v>214</v>
      </c>
      <c r="K115" t="s">
        <v>215</v>
      </c>
      <c r="L115" s="1">
        <v>43805</v>
      </c>
    </row>
    <row r="116" spans="1:12" x14ac:dyDescent="0.3">
      <c r="A116">
        <v>1900004538</v>
      </c>
      <c r="B116" s="1">
        <v>43809</v>
      </c>
      <c r="C116" t="s">
        <v>15</v>
      </c>
      <c r="D116" t="s">
        <v>16</v>
      </c>
      <c r="E116" t="s">
        <v>22</v>
      </c>
      <c r="F116">
        <v>4</v>
      </c>
      <c r="G116" t="s">
        <v>23</v>
      </c>
      <c r="H116" t="s">
        <v>24</v>
      </c>
      <c r="I116">
        <v>168593</v>
      </c>
      <c r="J116" t="s">
        <v>216</v>
      </c>
      <c r="K116" t="s">
        <v>217</v>
      </c>
      <c r="L116" s="1">
        <v>43613</v>
      </c>
    </row>
    <row r="117" spans="1:12" x14ac:dyDescent="0.3">
      <c r="A117">
        <v>1900004538</v>
      </c>
      <c r="B117" s="1">
        <v>43809</v>
      </c>
      <c r="C117" t="s">
        <v>15</v>
      </c>
      <c r="D117" t="s">
        <v>16</v>
      </c>
      <c r="E117" t="s">
        <v>22</v>
      </c>
      <c r="F117">
        <v>4</v>
      </c>
      <c r="G117" t="s">
        <v>23</v>
      </c>
      <c r="H117" t="s">
        <v>24</v>
      </c>
      <c r="I117">
        <v>168593</v>
      </c>
      <c r="J117" t="s">
        <v>218</v>
      </c>
      <c r="K117" t="s">
        <v>71</v>
      </c>
      <c r="L117" s="1">
        <v>43613</v>
      </c>
    </row>
    <row r="118" spans="1:12" x14ac:dyDescent="0.3">
      <c r="A118">
        <v>1900004894</v>
      </c>
      <c r="B118" s="1">
        <v>43818</v>
      </c>
      <c r="C118" t="s">
        <v>21</v>
      </c>
      <c r="D118" t="s">
        <v>16</v>
      </c>
      <c r="E118" t="s">
        <v>22</v>
      </c>
      <c r="F118">
        <v>4</v>
      </c>
      <c r="G118" t="s">
        <v>23</v>
      </c>
      <c r="H118" t="s">
        <v>24</v>
      </c>
      <c r="I118">
        <v>2970</v>
      </c>
      <c r="J118" t="s">
        <v>219</v>
      </c>
      <c r="K118">
        <v>43196279</v>
      </c>
      <c r="L118" s="1">
        <v>43730</v>
      </c>
    </row>
    <row r="119" spans="1:12" x14ac:dyDescent="0.3">
      <c r="A119">
        <v>1900004898</v>
      </c>
      <c r="B119" s="1">
        <v>43818</v>
      </c>
      <c r="C119" t="s">
        <v>21</v>
      </c>
      <c r="D119" t="s">
        <v>16</v>
      </c>
      <c r="E119" t="s">
        <v>22</v>
      </c>
      <c r="F119">
        <v>1</v>
      </c>
      <c r="G119" t="s">
        <v>28</v>
      </c>
      <c r="H119" t="s">
        <v>29</v>
      </c>
      <c r="I119">
        <v>7022</v>
      </c>
      <c r="J119" t="s">
        <v>220</v>
      </c>
      <c r="K119">
        <v>3.1142029633600998E+18</v>
      </c>
      <c r="L119" s="1">
        <v>43703</v>
      </c>
    </row>
    <row r="120" spans="1:12" x14ac:dyDescent="0.3">
      <c r="A120">
        <v>1900004909</v>
      </c>
      <c r="B120" s="1">
        <v>43818</v>
      </c>
      <c r="C120" t="s">
        <v>21</v>
      </c>
      <c r="D120" t="s">
        <v>16</v>
      </c>
      <c r="E120" t="s">
        <v>22</v>
      </c>
      <c r="F120">
        <v>4</v>
      </c>
      <c r="G120" t="s">
        <v>23</v>
      </c>
      <c r="H120" t="s">
        <v>24</v>
      </c>
      <c r="I120">
        <v>202350</v>
      </c>
      <c r="J120" t="s">
        <v>221</v>
      </c>
      <c r="K120" t="s">
        <v>222</v>
      </c>
      <c r="L120" s="1">
        <v>43738</v>
      </c>
    </row>
    <row r="121" spans="1:12" x14ac:dyDescent="0.3">
      <c r="A121">
        <v>1900004912</v>
      </c>
      <c r="B121" s="1">
        <v>43818</v>
      </c>
      <c r="C121" t="s">
        <v>21</v>
      </c>
      <c r="D121" t="s">
        <v>16</v>
      </c>
      <c r="E121" t="s">
        <v>22</v>
      </c>
      <c r="F121">
        <v>1</v>
      </c>
      <c r="G121" t="s">
        <v>28</v>
      </c>
      <c r="H121" t="s">
        <v>29</v>
      </c>
      <c r="I121">
        <v>87500</v>
      </c>
      <c r="J121" t="s">
        <v>223</v>
      </c>
      <c r="K121">
        <v>3.213400201191E+23</v>
      </c>
      <c r="L121" s="1">
        <v>43677</v>
      </c>
    </row>
    <row r="122" spans="1:12" x14ac:dyDescent="0.3">
      <c r="A122">
        <v>1900004917</v>
      </c>
      <c r="B122" s="1">
        <v>43818</v>
      </c>
      <c r="C122" t="s">
        <v>21</v>
      </c>
      <c r="D122" t="s">
        <v>16</v>
      </c>
      <c r="E122" t="s">
        <v>22</v>
      </c>
      <c r="F122">
        <v>1</v>
      </c>
      <c r="G122" t="s">
        <v>28</v>
      </c>
      <c r="H122" t="s">
        <v>29</v>
      </c>
      <c r="I122">
        <v>44260</v>
      </c>
      <c r="J122" t="s">
        <v>224</v>
      </c>
      <c r="K122">
        <v>22515779</v>
      </c>
      <c r="L122" s="1">
        <v>43738</v>
      </c>
    </row>
    <row r="123" spans="1:12" x14ac:dyDescent="0.3">
      <c r="A123">
        <v>1900004919</v>
      </c>
      <c r="B123" s="1">
        <v>43818</v>
      </c>
      <c r="C123" t="s">
        <v>21</v>
      </c>
      <c r="D123" t="s">
        <v>16</v>
      </c>
      <c r="E123" t="s">
        <v>114</v>
      </c>
      <c r="F123">
        <v>5</v>
      </c>
      <c r="G123" t="s">
        <v>35</v>
      </c>
      <c r="H123" t="s">
        <v>19</v>
      </c>
      <c r="I123">
        <v>11550</v>
      </c>
      <c r="J123" t="s">
        <v>225</v>
      </c>
      <c r="K123">
        <v>9.9000046190100005E+19</v>
      </c>
      <c r="L123" s="1">
        <v>43716</v>
      </c>
    </row>
    <row r="124" spans="1:12" x14ac:dyDescent="0.3">
      <c r="A124">
        <v>1900004920</v>
      </c>
      <c r="B124" s="1">
        <v>43818</v>
      </c>
      <c r="C124" t="s">
        <v>21</v>
      </c>
      <c r="D124" t="s">
        <v>16</v>
      </c>
      <c r="E124" t="s">
        <v>226</v>
      </c>
      <c r="F124">
        <v>5</v>
      </c>
      <c r="G124" t="s">
        <v>35</v>
      </c>
      <c r="H124" t="s">
        <v>19</v>
      </c>
      <c r="I124">
        <v>43033</v>
      </c>
      <c r="J124" t="s">
        <v>227</v>
      </c>
      <c r="K124">
        <v>9.90000111903E+19</v>
      </c>
      <c r="L124" s="1">
        <v>43716</v>
      </c>
    </row>
    <row r="125" spans="1:12" x14ac:dyDescent="0.3">
      <c r="A125">
        <v>1900004922</v>
      </c>
      <c r="B125" s="1">
        <v>43818</v>
      </c>
      <c r="C125" t="s">
        <v>21</v>
      </c>
      <c r="D125" t="s">
        <v>16</v>
      </c>
      <c r="E125" t="s">
        <v>114</v>
      </c>
      <c r="F125">
        <v>5</v>
      </c>
      <c r="G125" t="s">
        <v>35</v>
      </c>
      <c r="H125" t="s">
        <v>19</v>
      </c>
      <c r="I125">
        <v>7700</v>
      </c>
      <c r="J125" t="s">
        <v>228</v>
      </c>
      <c r="K125">
        <v>9.9000046190100005E+19</v>
      </c>
      <c r="L125" s="1">
        <v>43716</v>
      </c>
    </row>
    <row r="126" spans="1:12" x14ac:dyDescent="0.3">
      <c r="A126">
        <v>1900004923</v>
      </c>
      <c r="B126" s="1">
        <v>43818</v>
      </c>
      <c r="C126" t="s">
        <v>21</v>
      </c>
      <c r="D126" t="s">
        <v>16</v>
      </c>
      <c r="E126" t="s">
        <v>226</v>
      </c>
      <c r="F126">
        <v>5</v>
      </c>
      <c r="G126" t="s">
        <v>35</v>
      </c>
      <c r="H126" t="s">
        <v>19</v>
      </c>
      <c r="I126">
        <v>72139</v>
      </c>
      <c r="J126" t="s">
        <v>229</v>
      </c>
      <c r="K126">
        <v>9.90000111903E+19</v>
      </c>
      <c r="L126" s="1">
        <v>43716</v>
      </c>
    </row>
    <row r="127" spans="1:12" x14ac:dyDescent="0.3">
      <c r="A127">
        <v>1900004928</v>
      </c>
      <c r="B127" s="1">
        <v>43818</v>
      </c>
      <c r="C127" t="s">
        <v>21</v>
      </c>
      <c r="D127" t="s">
        <v>16</v>
      </c>
      <c r="E127" t="s">
        <v>55</v>
      </c>
      <c r="F127">
        <v>3</v>
      </c>
      <c r="G127" t="s">
        <v>56</v>
      </c>
      <c r="H127" t="s">
        <v>29</v>
      </c>
      <c r="I127">
        <v>32585</v>
      </c>
      <c r="J127" t="s">
        <v>230</v>
      </c>
      <c r="K127">
        <v>9.9000044190299996E+19</v>
      </c>
      <c r="L127" s="1">
        <v>43719</v>
      </c>
    </row>
    <row r="128" spans="1:12" x14ac:dyDescent="0.3">
      <c r="A128">
        <v>1900004933</v>
      </c>
      <c r="B128" s="1">
        <v>43818</v>
      </c>
      <c r="C128" t="s">
        <v>21</v>
      </c>
      <c r="D128" t="s">
        <v>16</v>
      </c>
      <c r="E128" t="s">
        <v>55</v>
      </c>
      <c r="F128">
        <v>3</v>
      </c>
      <c r="G128" t="s">
        <v>56</v>
      </c>
      <c r="H128" t="s">
        <v>29</v>
      </c>
      <c r="I128">
        <v>8045</v>
      </c>
      <c r="J128" t="s">
        <v>231</v>
      </c>
      <c r="K128">
        <v>9.9000044190299996E+19</v>
      </c>
      <c r="L128" s="1">
        <v>43730</v>
      </c>
    </row>
    <row r="129" spans="1:12" x14ac:dyDescent="0.3">
      <c r="A129">
        <v>1900004983</v>
      </c>
      <c r="B129" s="1">
        <v>43818</v>
      </c>
      <c r="C129" t="s">
        <v>21</v>
      </c>
      <c r="D129" t="s">
        <v>16</v>
      </c>
      <c r="E129" t="s">
        <v>22</v>
      </c>
      <c r="F129">
        <v>4</v>
      </c>
      <c r="G129" t="s">
        <v>23</v>
      </c>
      <c r="H129" t="s">
        <v>24</v>
      </c>
      <c r="I129">
        <v>26968</v>
      </c>
      <c r="J129" t="s">
        <v>232</v>
      </c>
      <c r="K129" t="s">
        <v>233</v>
      </c>
      <c r="L129" s="1">
        <v>43763</v>
      </c>
    </row>
    <row r="130" spans="1:12" x14ac:dyDescent="0.3">
      <c r="A130">
        <v>1900004984</v>
      </c>
      <c r="B130" s="1">
        <v>43818</v>
      </c>
      <c r="C130" t="s">
        <v>21</v>
      </c>
      <c r="D130" t="s">
        <v>16</v>
      </c>
      <c r="E130" t="s">
        <v>22</v>
      </c>
      <c r="F130">
        <v>4</v>
      </c>
      <c r="G130" t="s">
        <v>23</v>
      </c>
      <c r="H130" t="s">
        <v>24</v>
      </c>
      <c r="I130">
        <v>2437</v>
      </c>
      <c r="J130" t="s">
        <v>234</v>
      </c>
      <c r="K130" t="s">
        <v>235</v>
      </c>
      <c r="L130" s="1">
        <v>43764</v>
      </c>
    </row>
    <row r="131" spans="1:12" x14ac:dyDescent="0.3">
      <c r="A131">
        <v>1900004985</v>
      </c>
      <c r="B131" s="1">
        <v>43818</v>
      </c>
      <c r="C131" t="s">
        <v>21</v>
      </c>
      <c r="D131" t="s">
        <v>16</v>
      </c>
      <c r="E131" t="s">
        <v>22</v>
      </c>
      <c r="F131">
        <v>4</v>
      </c>
      <c r="G131" t="s">
        <v>23</v>
      </c>
      <c r="H131" t="s">
        <v>24</v>
      </c>
      <c r="I131">
        <v>53278</v>
      </c>
      <c r="J131" t="s">
        <v>236</v>
      </c>
      <c r="K131" t="s">
        <v>215</v>
      </c>
      <c r="L131" s="1">
        <v>43466</v>
      </c>
    </row>
    <row r="132" spans="1:12" x14ac:dyDescent="0.3">
      <c r="A132">
        <v>1900004986</v>
      </c>
      <c r="B132" s="1">
        <v>43818</v>
      </c>
      <c r="C132" t="s">
        <v>21</v>
      </c>
      <c r="D132" t="s">
        <v>16</v>
      </c>
      <c r="E132" t="s">
        <v>22</v>
      </c>
      <c r="F132">
        <v>4</v>
      </c>
      <c r="G132" t="s">
        <v>23</v>
      </c>
      <c r="H132" t="s">
        <v>24</v>
      </c>
      <c r="I132">
        <v>30048</v>
      </c>
      <c r="J132" t="s">
        <v>237</v>
      </c>
      <c r="K132" t="s">
        <v>238</v>
      </c>
      <c r="L132" s="1">
        <v>43466</v>
      </c>
    </row>
    <row r="133" spans="1:12" x14ac:dyDescent="0.3">
      <c r="A133">
        <v>1900004987</v>
      </c>
      <c r="B133" s="1">
        <v>43818</v>
      </c>
      <c r="C133" t="s">
        <v>21</v>
      </c>
      <c r="D133" t="s">
        <v>16</v>
      </c>
      <c r="E133" t="s">
        <v>22</v>
      </c>
      <c r="F133">
        <v>4</v>
      </c>
      <c r="G133" t="s">
        <v>23</v>
      </c>
      <c r="H133" t="s">
        <v>24</v>
      </c>
      <c r="I133">
        <v>12500</v>
      </c>
      <c r="J133" t="s">
        <v>239</v>
      </c>
      <c r="K133">
        <v>3.1142029974272998E+18</v>
      </c>
      <c r="L133" s="1">
        <v>43727</v>
      </c>
    </row>
    <row r="134" spans="1:12" x14ac:dyDescent="0.3">
      <c r="A134">
        <v>1900005036</v>
      </c>
      <c r="B134" s="1">
        <v>43819</v>
      </c>
      <c r="C134" t="s">
        <v>21</v>
      </c>
      <c r="D134" t="s">
        <v>16</v>
      </c>
      <c r="E134" t="s">
        <v>22</v>
      </c>
      <c r="F134">
        <v>1</v>
      </c>
      <c r="G134" t="s">
        <v>28</v>
      </c>
      <c r="H134" t="s">
        <v>29</v>
      </c>
      <c r="I134">
        <v>3854</v>
      </c>
      <c r="J134" t="s">
        <v>240</v>
      </c>
      <c r="K134" t="s">
        <v>241</v>
      </c>
      <c r="L134" s="1">
        <v>43585</v>
      </c>
    </row>
    <row r="135" spans="1:12" x14ac:dyDescent="0.3">
      <c r="A135">
        <v>1900005300</v>
      </c>
      <c r="B135" s="1">
        <v>43823</v>
      </c>
      <c r="C135" t="s">
        <v>15</v>
      </c>
      <c r="D135" t="s">
        <v>16</v>
      </c>
      <c r="E135" t="s">
        <v>22</v>
      </c>
      <c r="F135">
        <v>4</v>
      </c>
      <c r="G135" t="s">
        <v>23</v>
      </c>
      <c r="H135" t="s">
        <v>24</v>
      </c>
      <c r="I135">
        <v>132392</v>
      </c>
      <c r="J135" t="s">
        <v>242</v>
      </c>
      <c r="K135">
        <v>304003763</v>
      </c>
      <c r="L135" s="1">
        <v>43819</v>
      </c>
    </row>
    <row r="136" spans="1:12" x14ac:dyDescent="0.3">
      <c r="A136">
        <v>1900005300</v>
      </c>
      <c r="B136" s="1">
        <v>43823</v>
      </c>
      <c r="C136" t="s">
        <v>15</v>
      </c>
      <c r="D136" t="s">
        <v>16</v>
      </c>
      <c r="E136" t="s">
        <v>22</v>
      </c>
      <c r="F136">
        <v>4</v>
      </c>
      <c r="G136" t="s">
        <v>23</v>
      </c>
      <c r="H136" t="s">
        <v>24</v>
      </c>
      <c r="I136">
        <v>132392</v>
      </c>
      <c r="J136" t="s">
        <v>243</v>
      </c>
      <c r="K136" t="s">
        <v>244</v>
      </c>
      <c r="L136" s="1">
        <v>43819</v>
      </c>
    </row>
    <row r="137" spans="1:12" x14ac:dyDescent="0.3">
      <c r="A137">
        <v>1900005300</v>
      </c>
      <c r="B137" s="1">
        <v>43823</v>
      </c>
      <c r="C137" t="s">
        <v>15</v>
      </c>
      <c r="D137" t="s">
        <v>16</v>
      </c>
      <c r="E137" t="s">
        <v>22</v>
      </c>
      <c r="F137">
        <v>4</v>
      </c>
      <c r="G137" t="s">
        <v>23</v>
      </c>
      <c r="H137" t="s">
        <v>24</v>
      </c>
      <c r="I137">
        <v>132392</v>
      </c>
      <c r="J137" t="s">
        <v>245</v>
      </c>
      <c r="K137">
        <v>2.4142020928135997E+18</v>
      </c>
      <c r="L137" s="1">
        <v>43819</v>
      </c>
    </row>
    <row r="138" spans="1:12" x14ac:dyDescent="0.3">
      <c r="A138">
        <v>1900005300</v>
      </c>
      <c r="B138" s="1">
        <v>43823</v>
      </c>
      <c r="C138" t="s">
        <v>15</v>
      </c>
      <c r="D138" t="s">
        <v>16</v>
      </c>
      <c r="E138" t="s">
        <v>22</v>
      </c>
      <c r="F138">
        <v>4</v>
      </c>
      <c r="G138" t="s">
        <v>23</v>
      </c>
      <c r="H138" t="s">
        <v>24</v>
      </c>
      <c r="I138">
        <v>132392</v>
      </c>
      <c r="J138" t="s">
        <v>246</v>
      </c>
      <c r="K138" t="s">
        <v>137</v>
      </c>
      <c r="L138" s="1">
        <v>43819</v>
      </c>
    </row>
    <row r="139" spans="1:12" x14ac:dyDescent="0.3">
      <c r="A139">
        <v>1900005324</v>
      </c>
      <c r="B139" s="1">
        <v>43823</v>
      </c>
      <c r="C139" t="s">
        <v>21</v>
      </c>
      <c r="D139" t="s">
        <v>16</v>
      </c>
      <c r="E139" t="s">
        <v>55</v>
      </c>
      <c r="F139">
        <v>3</v>
      </c>
      <c r="G139" t="s">
        <v>56</v>
      </c>
      <c r="H139" t="s">
        <v>29</v>
      </c>
      <c r="I139">
        <v>26805</v>
      </c>
      <c r="J139" t="s">
        <v>247</v>
      </c>
      <c r="K139">
        <v>9.9000044190299996E+19</v>
      </c>
      <c r="L139" s="1">
        <v>43788</v>
      </c>
    </row>
    <row r="140" spans="1:12" x14ac:dyDescent="0.3">
      <c r="A140">
        <v>1900005325</v>
      </c>
      <c r="B140" s="1">
        <v>43823</v>
      </c>
      <c r="C140" t="s">
        <v>21</v>
      </c>
      <c r="D140" t="s">
        <v>16</v>
      </c>
      <c r="E140" t="s">
        <v>34</v>
      </c>
      <c r="F140">
        <v>5</v>
      </c>
      <c r="G140" t="s">
        <v>35</v>
      </c>
      <c r="H140" t="s">
        <v>24</v>
      </c>
      <c r="I140">
        <v>956</v>
      </c>
      <c r="J140" t="s">
        <v>248</v>
      </c>
      <c r="K140">
        <v>43191791</v>
      </c>
      <c r="L140" s="1">
        <v>43649</v>
      </c>
    </row>
    <row r="141" spans="1:12" x14ac:dyDescent="0.3">
      <c r="A141">
        <v>1900005329</v>
      </c>
      <c r="B141" s="1">
        <v>43823</v>
      </c>
      <c r="C141" t="s">
        <v>21</v>
      </c>
      <c r="D141" t="s">
        <v>16</v>
      </c>
      <c r="E141" t="s">
        <v>22</v>
      </c>
      <c r="F141">
        <v>1</v>
      </c>
      <c r="G141" t="s">
        <v>28</v>
      </c>
      <c r="H141" t="s">
        <v>29</v>
      </c>
      <c r="I141">
        <v>2089</v>
      </c>
      <c r="J141" t="s">
        <v>249</v>
      </c>
      <c r="K141">
        <v>3.1142029634361999E+18</v>
      </c>
      <c r="L141" s="1">
        <v>43703</v>
      </c>
    </row>
    <row r="142" spans="1:12" x14ac:dyDescent="0.3">
      <c r="A142">
        <v>1900005331</v>
      </c>
      <c r="B142" s="1">
        <v>43823</v>
      </c>
      <c r="C142" t="s">
        <v>21</v>
      </c>
      <c r="D142" t="s">
        <v>16</v>
      </c>
      <c r="E142" t="s">
        <v>22</v>
      </c>
      <c r="F142">
        <v>4</v>
      </c>
      <c r="G142" t="s">
        <v>23</v>
      </c>
      <c r="H142" t="s">
        <v>24</v>
      </c>
      <c r="I142">
        <v>8580</v>
      </c>
      <c r="J142" t="s">
        <v>250</v>
      </c>
      <c r="K142" t="s">
        <v>251</v>
      </c>
      <c r="L142" s="1">
        <v>43729</v>
      </c>
    </row>
    <row r="143" spans="1:12" x14ac:dyDescent="0.3">
      <c r="A143">
        <v>1900005394</v>
      </c>
      <c r="B143" s="1">
        <v>43824</v>
      </c>
      <c r="C143" t="s">
        <v>21</v>
      </c>
      <c r="D143" t="s">
        <v>16</v>
      </c>
      <c r="E143" t="s">
        <v>22</v>
      </c>
      <c r="F143">
        <v>4</v>
      </c>
      <c r="G143" t="s">
        <v>23</v>
      </c>
      <c r="H143" t="s">
        <v>24</v>
      </c>
      <c r="I143">
        <v>60713</v>
      </c>
      <c r="J143" t="s">
        <v>252</v>
      </c>
      <c r="K143" t="s">
        <v>253</v>
      </c>
      <c r="L143" s="1">
        <v>43647</v>
      </c>
    </row>
    <row r="144" spans="1:12" x14ac:dyDescent="0.3">
      <c r="A144">
        <v>1900005395</v>
      </c>
      <c r="B144" s="1">
        <v>43824</v>
      </c>
      <c r="C144" t="s">
        <v>21</v>
      </c>
      <c r="D144" t="s">
        <v>16</v>
      </c>
      <c r="E144" t="s">
        <v>67</v>
      </c>
      <c r="F144">
        <v>4</v>
      </c>
      <c r="G144" t="s">
        <v>23</v>
      </c>
      <c r="H144" t="s">
        <v>24</v>
      </c>
      <c r="I144">
        <v>50160</v>
      </c>
      <c r="J144" t="s">
        <v>254</v>
      </c>
      <c r="K144">
        <v>22531899</v>
      </c>
      <c r="L144" s="1">
        <v>43765</v>
      </c>
    </row>
    <row r="145" spans="1:12" x14ac:dyDescent="0.3">
      <c r="A145">
        <v>1900005396</v>
      </c>
      <c r="B145" s="1">
        <v>43824</v>
      </c>
      <c r="C145" t="s">
        <v>21</v>
      </c>
      <c r="D145" t="s">
        <v>16</v>
      </c>
      <c r="E145" t="s">
        <v>22</v>
      </c>
      <c r="F145">
        <v>4</v>
      </c>
      <c r="G145" t="s">
        <v>23</v>
      </c>
      <c r="H145" t="s">
        <v>24</v>
      </c>
      <c r="I145">
        <v>71765</v>
      </c>
      <c r="J145" t="s">
        <v>255</v>
      </c>
      <c r="K145" t="s">
        <v>256</v>
      </c>
      <c r="L145" s="1">
        <v>43764</v>
      </c>
    </row>
    <row r="146" spans="1:12" x14ac:dyDescent="0.3">
      <c r="A146">
        <v>1900005439</v>
      </c>
      <c r="B146" s="1">
        <v>43824</v>
      </c>
      <c r="C146" t="s">
        <v>21</v>
      </c>
      <c r="D146" t="s">
        <v>16</v>
      </c>
      <c r="E146" t="s">
        <v>55</v>
      </c>
      <c r="F146">
        <v>13</v>
      </c>
      <c r="G146" t="s">
        <v>45</v>
      </c>
      <c r="H146" t="s">
        <v>29</v>
      </c>
      <c r="I146">
        <v>62399</v>
      </c>
      <c r="J146" t="s">
        <v>257</v>
      </c>
      <c r="K146" t="s">
        <v>258</v>
      </c>
      <c r="L146" s="1">
        <v>43783</v>
      </c>
    </row>
    <row r="147" spans="1:12" x14ac:dyDescent="0.3">
      <c r="A147">
        <v>1900005516</v>
      </c>
      <c r="B147" s="1">
        <v>43825</v>
      </c>
      <c r="C147" t="s">
        <v>21</v>
      </c>
      <c r="D147" t="s">
        <v>16</v>
      </c>
      <c r="E147" t="s">
        <v>17</v>
      </c>
      <c r="F147">
        <v>10</v>
      </c>
      <c r="G147" t="s">
        <v>18</v>
      </c>
      <c r="H147" t="s">
        <v>29</v>
      </c>
      <c r="I147">
        <v>27530</v>
      </c>
      <c r="J147" t="s">
        <v>259</v>
      </c>
      <c r="K147">
        <v>2280014070</v>
      </c>
      <c r="L147" s="1">
        <v>43533</v>
      </c>
    </row>
    <row r="148" spans="1:12" x14ac:dyDescent="0.3">
      <c r="A148">
        <v>1900005526</v>
      </c>
      <c r="B148" s="1">
        <v>43825</v>
      </c>
      <c r="C148" t="s">
        <v>21</v>
      </c>
      <c r="D148" t="s">
        <v>16</v>
      </c>
      <c r="E148" t="s">
        <v>34</v>
      </c>
      <c r="F148">
        <v>6</v>
      </c>
      <c r="G148" t="s">
        <v>42</v>
      </c>
      <c r="H148" t="s">
        <v>24</v>
      </c>
      <c r="I148">
        <v>60000</v>
      </c>
      <c r="J148" t="s">
        <v>260</v>
      </c>
      <c r="K148" t="s">
        <v>261</v>
      </c>
      <c r="L148" s="1">
        <v>43556</v>
      </c>
    </row>
    <row r="149" spans="1:12" x14ac:dyDescent="0.3">
      <c r="A149">
        <v>1900005527</v>
      </c>
      <c r="B149" s="1">
        <v>43825</v>
      </c>
      <c r="C149" t="s">
        <v>21</v>
      </c>
      <c r="D149" t="s">
        <v>16</v>
      </c>
      <c r="E149" t="s">
        <v>22</v>
      </c>
      <c r="F149">
        <v>4</v>
      </c>
      <c r="G149" t="s">
        <v>23</v>
      </c>
      <c r="H149" t="s">
        <v>24</v>
      </c>
      <c r="I149">
        <v>77400</v>
      </c>
      <c r="J149" t="s">
        <v>262</v>
      </c>
      <c r="K149">
        <v>1.203004619248E+19</v>
      </c>
      <c r="L149" s="1">
        <v>43687</v>
      </c>
    </row>
    <row r="150" spans="1:12" x14ac:dyDescent="0.3">
      <c r="A150">
        <v>1900005528</v>
      </c>
      <c r="B150" s="1">
        <v>43825</v>
      </c>
      <c r="C150" t="s">
        <v>21</v>
      </c>
      <c r="D150" t="s">
        <v>16</v>
      </c>
      <c r="E150" t="s">
        <v>22</v>
      </c>
      <c r="F150">
        <v>4</v>
      </c>
      <c r="G150" t="s">
        <v>23</v>
      </c>
      <c r="H150" t="s">
        <v>24</v>
      </c>
      <c r="I150">
        <v>302812</v>
      </c>
      <c r="J150" t="s">
        <v>263</v>
      </c>
      <c r="K150">
        <v>1.203004619248E+19</v>
      </c>
      <c r="L150" s="1">
        <v>43687</v>
      </c>
    </row>
    <row r="151" spans="1:12" x14ac:dyDescent="0.3">
      <c r="A151">
        <v>1900005529</v>
      </c>
      <c r="B151" s="1">
        <v>43825</v>
      </c>
      <c r="C151" t="s">
        <v>21</v>
      </c>
      <c r="D151" t="s">
        <v>16</v>
      </c>
      <c r="E151" t="s">
        <v>114</v>
      </c>
      <c r="F151">
        <v>13</v>
      </c>
      <c r="G151" t="s">
        <v>45</v>
      </c>
      <c r="H151" t="s">
        <v>24</v>
      </c>
      <c r="I151">
        <v>275569</v>
      </c>
      <c r="J151" t="s">
        <v>264</v>
      </c>
      <c r="K151" t="s">
        <v>265</v>
      </c>
      <c r="L151" s="1">
        <v>43525</v>
      </c>
    </row>
    <row r="152" spans="1:12" x14ac:dyDescent="0.3">
      <c r="A152">
        <v>1900005530</v>
      </c>
      <c r="B152" s="1">
        <v>43825</v>
      </c>
      <c r="C152" t="s">
        <v>21</v>
      </c>
      <c r="D152" t="s">
        <v>16</v>
      </c>
      <c r="E152" t="s">
        <v>17</v>
      </c>
      <c r="F152">
        <v>13</v>
      </c>
      <c r="G152" t="s">
        <v>45</v>
      </c>
      <c r="H152" t="s">
        <v>24</v>
      </c>
      <c r="I152">
        <v>320000</v>
      </c>
      <c r="J152" t="s">
        <v>266</v>
      </c>
      <c r="K152" t="s">
        <v>267</v>
      </c>
      <c r="L152" s="1">
        <v>43496</v>
      </c>
    </row>
    <row r="153" spans="1:12" x14ac:dyDescent="0.3">
      <c r="A153">
        <v>1900005531</v>
      </c>
      <c r="B153" s="1">
        <v>43825</v>
      </c>
      <c r="C153" t="s">
        <v>21</v>
      </c>
      <c r="D153" t="s">
        <v>16</v>
      </c>
      <c r="E153" t="s">
        <v>34</v>
      </c>
      <c r="F153">
        <v>6</v>
      </c>
      <c r="G153" t="s">
        <v>42</v>
      </c>
      <c r="H153" t="s">
        <v>24</v>
      </c>
      <c r="I153">
        <v>114752</v>
      </c>
      <c r="J153" t="s">
        <v>268</v>
      </c>
      <c r="K153">
        <v>3393</v>
      </c>
      <c r="L153" s="1">
        <v>43770</v>
      </c>
    </row>
    <row r="154" spans="1:12" x14ac:dyDescent="0.3">
      <c r="A154">
        <v>1900005532</v>
      </c>
      <c r="B154" s="1">
        <v>43825</v>
      </c>
      <c r="C154" t="s">
        <v>21</v>
      </c>
      <c r="D154" t="s">
        <v>16</v>
      </c>
      <c r="E154" t="s">
        <v>34</v>
      </c>
      <c r="F154">
        <v>6</v>
      </c>
      <c r="G154" t="s">
        <v>42</v>
      </c>
      <c r="H154" t="s">
        <v>19</v>
      </c>
      <c r="I154">
        <v>49027</v>
      </c>
      <c r="J154" t="s">
        <v>269</v>
      </c>
      <c r="K154" t="s">
        <v>66</v>
      </c>
      <c r="L154" s="1">
        <v>43500</v>
      </c>
    </row>
    <row r="155" spans="1:12" x14ac:dyDescent="0.3">
      <c r="A155">
        <v>1900005555</v>
      </c>
      <c r="B155" s="1">
        <v>43825</v>
      </c>
      <c r="C155" t="s">
        <v>21</v>
      </c>
      <c r="D155" t="s">
        <v>16</v>
      </c>
      <c r="E155" t="s">
        <v>55</v>
      </c>
      <c r="F155">
        <v>13</v>
      </c>
      <c r="G155" t="s">
        <v>45</v>
      </c>
      <c r="H155" t="s">
        <v>29</v>
      </c>
      <c r="I155">
        <v>153332</v>
      </c>
      <c r="J155" t="s">
        <v>270</v>
      </c>
      <c r="K155" t="s">
        <v>271</v>
      </c>
      <c r="L155" s="1">
        <v>43757</v>
      </c>
    </row>
    <row r="156" spans="1:12" x14ac:dyDescent="0.3">
      <c r="A156">
        <v>1900005760</v>
      </c>
      <c r="B156" s="1">
        <v>43827</v>
      </c>
      <c r="C156" t="s">
        <v>21</v>
      </c>
      <c r="D156" t="s">
        <v>16</v>
      </c>
      <c r="E156" t="s">
        <v>67</v>
      </c>
      <c r="F156">
        <v>5</v>
      </c>
      <c r="G156" t="s">
        <v>35</v>
      </c>
      <c r="H156" t="s">
        <v>19</v>
      </c>
      <c r="I156">
        <v>23591</v>
      </c>
      <c r="J156" t="s">
        <v>272</v>
      </c>
      <c r="K156">
        <v>2.4142027811737001E+18</v>
      </c>
      <c r="L156" s="1">
        <v>43586</v>
      </c>
    </row>
    <row r="157" spans="1:12" x14ac:dyDescent="0.3">
      <c r="A157">
        <v>1900005761</v>
      </c>
      <c r="B157" s="1">
        <v>43827</v>
      </c>
      <c r="C157" t="s">
        <v>21</v>
      </c>
      <c r="D157" t="s">
        <v>16</v>
      </c>
      <c r="E157" t="s">
        <v>22</v>
      </c>
      <c r="F157">
        <v>4</v>
      </c>
      <c r="G157" t="s">
        <v>23</v>
      </c>
      <c r="H157" t="s">
        <v>24</v>
      </c>
      <c r="I157">
        <v>19181</v>
      </c>
      <c r="J157" t="s">
        <v>273</v>
      </c>
      <c r="K157" t="s">
        <v>274</v>
      </c>
      <c r="L157" s="1">
        <v>43679</v>
      </c>
    </row>
    <row r="158" spans="1:12" x14ac:dyDescent="0.3">
      <c r="A158">
        <v>1900005767</v>
      </c>
      <c r="B158" s="1">
        <v>43827</v>
      </c>
      <c r="C158" t="s">
        <v>21</v>
      </c>
      <c r="D158" t="s">
        <v>16</v>
      </c>
      <c r="E158" t="s">
        <v>226</v>
      </c>
      <c r="F158">
        <v>5</v>
      </c>
      <c r="G158" t="s">
        <v>35</v>
      </c>
      <c r="H158" t="s">
        <v>19</v>
      </c>
      <c r="I158">
        <v>8228</v>
      </c>
      <c r="J158" t="s">
        <v>275</v>
      </c>
      <c r="K158">
        <v>2.3060011180300001E+19</v>
      </c>
      <c r="L158" s="1">
        <v>43524</v>
      </c>
    </row>
    <row r="159" spans="1:12" x14ac:dyDescent="0.3">
      <c r="A159">
        <v>1900005768</v>
      </c>
      <c r="B159" s="1">
        <v>43827</v>
      </c>
      <c r="C159" t="s">
        <v>21</v>
      </c>
      <c r="D159" t="s">
        <v>16</v>
      </c>
      <c r="E159" t="s">
        <v>226</v>
      </c>
      <c r="F159">
        <v>5</v>
      </c>
      <c r="G159" t="s">
        <v>35</v>
      </c>
      <c r="H159" t="s">
        <v>29</v>
      </c>
      <c r="I159">
        <v>5241</v>
      </c>
      <c r="J159" t="s">
        <v>276</v>
      </c>
      <c r="K159">
        <v>2.3060011180300001E+19</v>
      </c>
      <c r="L159" s="1">
        <v>43658</v>
      </c>
    </row>
    <row r="160" spans="1:12" x14ac:dyDescent="0.3">
      <c r="A160">
        <v>1900005769</v>
      </c>
      <c r="B160" s="1">
        <v>43827</v>
      </c>
      <c r="C160" t="s">
        <v>21</v>
      </c>
      <c r="D160" t="s">
        <v>16</v>
      </c>
      <c r="E160" t="s">
        <v>226</v>
      </c>
      <c r="F160">
        <v>5</v>
      </c>
      <c r="G160" t="s">
        <v>35</v>
      </c>
      <c r="H160" t="s">
        <v>29</v>
      </c>
      <c r="I160">
        <v>13154</v>
      </c>
      <c r="J160" t="s">
        <v>277</v>
      </c>
      <c r="K160">
        <v>9.9000046190799995E+19</v>
      </c>
      <c r="L160" s="1">
        <v>43748</v>
      </c>
    </row>
    <row r="161" spans="1:12" x14ac:dyDescent="0.3">
      <c r="A161">
        <v>1900005770</v>
      </c>
      <c r="B161" s="1">
        <v>43827</v>
      </c>
      <c r="C161" t="s">
        <v>21</v>
      </c>
      <c r="D161" t="s">
        <v>16</v>
      </c>
      <c r="E161" t="s">
        <v>226</v>
      </c>
      <c r="F161">
        <v>5</v>
      </c>
      <c r="G161" t="s">
        <v>35</v>
      </c>
      <c r="H161" t="s">
        <v>19</v>
      </c>
      <c r="I161">
        <v>14461</v>
      </c>
      <c r="J161" t="s">
        <v>278</v>
      </c>
      <c r="K161">
        <v>9.9000046190799995E+19</v>
      </c>
      <c r="L161" s="1">
        <v>43716</v>
      </c>
    </row>
    <row r="162" spans="1:12" x14ac:dyDescent="0.3">
      <c r="A162">
        <v>1900005771</v>
      </c>
      <c r="B162" s="1">
        <v>43827</v>
      </c>
      <c r="C162" t="s">
        <v>21</v>
      </c>
      <c r="D162" t="s">
        <v>16</v>
      </c>
      <c r="E162" t="s">
        <v>22</v>
      </c>
      <c r="F162">
        <v>4</v>
      </c>
      <c r="G162" t="s">
        <v>23</v>
      </c>
      <c r="H162" t="s">
        <v>24</v>
      </c>
      <c r="I162">
        <v>2853</v>
      </c>
      <c r="J162" t="s">
        <v>279</v>
      </c>
      <c r="K162" t="s">
        <v>280</v>
      </c>
      <c r="L162" s="1">
        <v>43639</v>
      </c>
    </row>
    <row r="163" spans="1:12" x14ac:dyDescent="0.3">
      <c r="A163">
        <v>1900005772</v>
      </c>
      <c r="B163" s="1">
        <v>43827</v>
      </c>
      <c r="C163" t="s">
        <v>21</v>
      </c>
      <c r="D163" t="s">
        <v>16</v>
      </c>
      <c r="E163" t="s">
        <v>22</v>
      </c>
      <c r="F163">
        <v>4</v>
      </c>
      <c r="G163" t="s">
        <v>23</v>
      </c>
      <c r="H163" t="s">
        <v>24</v>
      </c>
      <c r="I163">
        <v>495</v>
      </c>
      <c r="J163" t="s">
        <v>281</v>
      </c>
      <c r="K163" t="s">
        <v>282</v>
      </c>
      <c r="L163" s="1">
        <v>43639</v>
      </c>
    </row>
    <row r="164" spans="1:12" x14ac:dyDescent="0.3">
      <c r="A164">
        <v>1900005773</v>
      </c>
      <c r="B164" s="1">
        <v>43827</v>
      </c>
      <c r="C164" t="s">
        <v>21</v>
      </c>
      <c r="D164" t="s">
        <v>16</v>
      </c>
      <c r="E164" t="s">
        <v>22</v>
      </c>
      <c r="F164">
        <v>4</v>
      </c>
      <c r="G164" t="s">
        <v>23</v>
      </c>
      <c r="H164" t="s">
        <v>24</v>
      </c>
      <c r="I164">
        <v>5891</v>
      </c>
      <c r="J164" t="s">
        <v>283</v>
      </c>
      <c r="K164" t="s">
        <v>284</v>
      </c>
      <c r="L164" s="1">
        <v>43500</v>
      </c>
    </row>
    <row r="165" spans="1:12" x14ac:dyDescent="0.3">
      <c r="A165">
        <v>1900005774</v>
      </c>
      <c r="B165" s="1">
        <v>43827</v>
      </c>
      <c r="C165" t="s">
        <v>21</v>
      </c>
      <c r="D165" t="s">
        <v>16</v>
      </c>
      <c r="E165" t="s">
        <v>114</v>
      </c>
      <c r="F165">
        <v>3</v>
      </c>
      <c r="G165" t="s">
        <v>56</v>
      </c>
      <c r="H165" t="s">
        <v>29</v>
      </c>
      <c r="I165">
        <v>4596</v>
      </c>
      <c r="J165" t="s">
        <v>285</v>
      </c>
      <c r="K165" t="s">
        <v>286</v>
      </c>
      <c r="L165" s="1">
        <v>43601</v>
      </c>
    </row>
    <row r="166" spans="1:12" x14ac:dyDescent="0.3">
      <c r="A166">
        <v>1900005775</v>
      </c>
      <c r="B166" s="1">
        <v>43827</v>
      </c>
      <c r="C166" t="s">
        <v>21</v>
      </c>
      <c r="D166" t="s">
        <v>16</v>
      </c>
      <c r="E166" t="s">
        <v>55</v>
      </c>
      <c r="F166">
        <v>3</v>
      </c>
      <c r="G166" t="s">
        <v>56</v>
      </c>
      <c r="H166" t="s">
        <v>29</v>
      </c>
      <c r="I166">
        <v>21443</v>
      </c>
      <c r="J166" t="s">
        <v>287</v>
      </c>
      <c r="K166">
        <v>9.9000044180300005E+19</v>
      </c>
      <c r="L166" s="1">
        <v>43649</v>
      </c>
    </row>
    <row r="167" spans="1:12" x14ac:dyDescent="0.3">
      <c r="A167">
        <v>1900005776</v>
      </c>
      <c r="B167" s="1">
        <v>43827</v>
      </c>
      <c r="C167" t="s">
        <v>21</v>
      </c>
      <c r="D167" t="s">
        <v>16</v>
      </c>
      <c r="E167" t="s">
        <v>55</v>
      </c>
      <c r="F167">
        <v>3</v>
      </c>
      <c r="G167" t="s">
        <v>56</v>
      </c>
      <c r="H167" t="s">
        <v>29</v>
      </c>
      <c r="I167">
        <v>21442</v>
      </c>
      <c r="J167" t="s">
        <v>288</v>
      </c>
      <c r="K167">
        <v>9.9000044180300005E+19</v>
      </c>
      <c r="L167" s="1">
        <v>43758</v>
      </c>
    </row>
    <row r="168" spans="1:12" x14ac:dyDescent="0.3">
      <c r="A168">
        <v>1900005777</v>
      </c>
      <c r="B168" s="1">
        <v>43827</v>
      </c>
      <c r="C168" t="s">
        <v>21</v>
      </c>
      <c r="D168" t="s">
        <v>16</v>
      </c>
      <c r="E168" t="s">
        <v>55</v>
      </c>
      <c r="F168">
        <v>3</v>
      </c>
      <c r="G168" t="s">
        <v>56</v>
      </c>
      <c r="H168" t="s">
        <v>29</v>
      </c>
      <c r="I168">
        <v>21443</v>
      </c>
      <c r="J168" t="s">
        <v>289</v>
      </c>
      <c r="K168">
        <v>9.9000044180300005E+19</v>
      </c>
      <c r="L168" s="1">
        <v>43540</v>
      </c>
    </row>
    <row r="169" spans="1:12" x14ac:dyDescent="0.3">
      <c r="A169">
        <v>1900005778</v>
      </c>
      <c r="B169" s="1">
        <v>43827</v>
      </c>
      <c r="C169" t="s">
        <v>21</v>
      </c>
      <c r="D169" t="s">
        <v>16</v>
      </c>
      <c r="E169" t="s">
        <v>55</v>
      </c>
      <c r="F169">
        <v>3</v>
      </c>
      <c r="G169" t="s">
        <v>56</v>
      </c>
      <c r="H169" t="s">
        <v>29</v>
      </c>
      <c r="I169">
        <v>17949</v>
      </c>
      <c r="J169" t="s">
        <v>290</v>
      </c>
      <c r="K169">
        <v>9.9000044180300005E+19</v>
      </c>
      <c r="L169" s="1">
        <v>43649</v>
      </c>
    </row>
    <row r="170" spans="1:12" x14ac:dyDescent="0.3">
      <c r="A170">
        <v>1900005779</v>
      </c>
      <c r="B170" s="1">
        <v>43827</v>
      </c>
      <c r="C170" t="s">
        <v>21</v>
      </c>
      <c r="D170" t="s">
        <v>16</v>
      </c>
      <c r="E170" t="s">
        <v>55</v>
      </c>
      <c r="F170">
        <v>3</v>
      </c>
      <c r="G170" t="s">
        <v>56</v>
      </c>
      <c r="H170" t="s">
        <v>29</v>
      </c>
      <c r="I170">
        <v>17949</v>
      </c>
      <c r="J170" t="s">
        <v>291</v>
      </c>
      <c r="K170">
        <v>9.9000044180300005E+19</v>
      </c>
      <c r="L170" s="1">
        <v>43540</v>
      </c>
    </row>
    <row r="171" spans="1:12" x14ac:dyDescent="0.3">
      <c r="A171">
        <v>1900005780</v>
      </c>
      <c r="B171" s="1">
        <v>43827</v>
      </c>
      <c r="C171" t="s">
        <v>21</v>
      </c>
      <c r="D171" t="s">
        <v>16</v>
      </c>
      <c r="E171" t="s">
        <v>114</v>
      </c>
      <c r="F171">
        <v>5</v>
      </c>
      <c r="G171" t="s">
        <v>35</v>
      </c>
      <c r="H171" t="s">
        <v>19</v>
      </c>
      <c r="I171">
        <v>7889</v>
      </c>
      <c r="J171" t="s">
        <v>292</v>
      </c>
      <c r="K171" t="s">
        <v>293</v>
      </c>
      <c r="L171" s="1">
        <v>43477</v>
      </c>
    </row>
    <row r="172" spans="1:12" x14ac:dyDescent="0.3">
      <c r="A172">
        <v>1900005781</v>
      </c>
      <c r="B172" s="1">
        <v>43827</v>
      </c>
      <c r="C172" t="s">
        <v>21</v>
      </c>
      <c r="D172" t="s">
        <v>16</v>
      </c>
      <c r="E172" t="s">
        <v>17</v>
      </c>
      <c r="F172">
        <v>3</v>
      </c>
      <c r="G172" t="s">
        <v>56</v>
      </c>
      <c r="H172" t="s">
        <v>29</v>
      </c>
      <c r="I172">
        <v>8198</v>
      </c>
      <c r="J172" t="s">
        <v>294</v>
      </c>
      <c r="K172">
        <v>3.1142031258438999E+18</v>
      </c>
      <c r="L172" s="1">
        <v>43763</v>
      </c>
    </row>
    <row r="173" spans="1:12" x14ac:dyDescent="0.3">
      <c r="A173">
        <v>1900005782</v>
      </c>
      <c r="B173" s="1">
        <v>43827</v>
      </c>
      <c r="C173" t="s">
        <v>21</v>
      </c>
      <c r="D173" t="s">
        <v>16</v>
      </c>
      <c r="E173" t="s">
        <v>34</v>
      </c>
      <c r="F173">
        <v>6</v>
      </c>
      <c r="G173" t="s">
        <v>42</v>
      </c>
      <c r="H173" t="s">
        <v>19</v>
      </c>
      <c r="I173">
        <v>18697</v>
      </c>
      <c r="J173" t="s">
        <v>295</v>
      </c>
      <c r="K173" t="s">
        <v>44</v>
      </c>
      <c r="L173" s="1">
        <v>43535</v>
      </c>
    </row>
    <row r="174" spans="1:12" x14ac:dyDescent="0.3">
      <c r="A174">
        <v>1900005783</v>
      </c>
      <c r="B174" s="1">
        <v>43827</v>
      </c>
      <c r="C174" t="s">
        <v>21</v>
      </c>
      <c r="D174" t="s">
        <v>16</v>
      </c>
      <c r="E174" t="s">
        <v>34</v>
      </c>
      <c r="F174">
        <v>6</v>
      </c>
      <c r="G174" t="s">
        <v>42</v>
      </c>
      <c r="H174" t="s">
        <v>19</v>
      </c>
      <c r="I174">
        <v>17140</v>
      </c>
      <c r="J174" t="s">
        <v>296</v>
      </c>
      <c r="K174" t="s">
        <v>44</v>
      </c>
      <c r="L174" s="1">
        <v>43749</v>
      </c>
    </row>
    <row r="175" spans="1:12" x14ac:dyDescent="0.3">
      <c r="A175">
        <v>1900005784</v>
      </c>
      <c r="B175" s="1">
        <v>43827</v>
      </c>
      <c r="C175" t="s">
        <v>21</v>
      </c>
      <c r="D175" t="s">
        <v>16</v>
      </c>
      <c r="E175" t="s">
        <v>34</v>
      </c>
      <c r="F175">
        <v>6</v>
      </c>
      <c r="G175" t="s">
        <v>42</v>
      </c>
      <c r="H175" t="s">
        <v>19</v>
      </c>
      <c r="I175">
        <v>8561</v>
      </c>
      <c r="J175" t="s">
        <v>297</v>
      </c>
      <c r="K175" t="s">
        <v>44</v>
      </c>
      <c r="L175" s="1">
        <v>43783</v>
      </c>
    </row>
    <row r="176" spans="1:12" x14ac:dyDescent="0.3">
      <c r="A176">
        <v>1900005785</v>
      </c>
      <c r="B176" s="1">
        <v>43827</v>
      </c>
      <c r="C176" t="s">
        <v>21</v>
      </c>
      <c r="D176" t="s">
        <v>16</v>
      </c>
      <c r="E176" t="s">
        <v>17</v>
      </c>
      <c r="F176">
        <v>5</v>
      </c>
      <c r="G176" t="s">
        <v>35</v>
      </c>
      <c r="H176" t="s">
        <v>24</v>
      </c>
      <c r="I176">
        <v>6213</v>
      </c>
      <c r="J176" t="s">
        <v>298</v>
      </c>
      <c r="K176">
        <v>43191787</v>
      </c>
      <c r="L176" s="1">
        <v>43649</v>
      </c>
    </row>
    <row r="177" spans="1:12" x14ac:dyDescent="0.3">
      <c r="A177">
        <v>1900005786</v>
      </c>
      <c r="B177" s="1">
        <v>43827</v>
      </c>
      <c r="C177" t="s">
        <v>21</v>
      </c>
      <c r="D177" t="s">
        <v>16</v>
      </c>
      <c r="E177" t="s">
        <v>22</v>
      </c>
      <c r="F177">
        <v>4</v>
      </c>
      <c r="G177" t="s">
        <v>23</v>
      </c>
      <c r="H177" t="s">
        <v>24</v>
      </c>
      <c r="I177">
        <v>8625</v>
      </c>
      <c r="J177" t="s">
        <v>299</v>
      </c>
      <c r="K177" t="s">
        <v>300</v>
      </c>
      <c r="L177" s="1">
        <v>43729</v>
      </c>
    </row>
    <row r="178" spans="1:12" x14ac:dyDescent="0.3">
      <c r="A178">
        <v>1900005787</v>
      </c>
      <c r="B178" s="1">
        <v>43827</v>
      </c>
      <c r="C178" t="s">
        <v>21</v>
      </c>
      <c r="D178" t="s">
        <v>16</v>
      </c>
      <c r="E178" t="s">
        <v>22</v>
      </c>
      <c r="F178">
        <v>4</v>
      </c>
      <c r="G178" t="s">
        <v>23</v>
      </c>
      <c r="H178" t="s">
        <v>24</v>
      </c>
      <c r="I178">
        <v>4579</v>
      </c>
      <c r="J178" t="s">
        <v>301</v>
      </c>
      <c r="K178" t="s">
        <v>302</v>
      </c>
      <c r="L178" s="1">
        <v>43729</v>
      </c>
    </row>
    <row r="179" spans="1:12" x14ac:dyDescent="0.3">
      <c r="A179">
        <v>1900005788</v>
      </c>
      <c r="B179" s="1">
        <v>43827</v>
      </c>
      <c r="C179" t="s">
        <v>21</v>
      </c>
      <c r="D179" t="s">
        <v>16</v>
      </c>
      <c r="E179" t="s">
        <v>22</v>
      </c>
      <c r="F179">
        <v>4</v>
      </c>
      <c r="G179" t="s">
        <v>23</v>
      </c>
      <c r="H179" t="s">
        <v>24</v>
      </c>
      <c r="I179">
        <v>1980</v>
      </c>
      <c r="J179" t="s">
        <v>303</v>
      </c>
      <c r="K179" t="s">
        <v>304</v>
      </c>
      <c r="L179" s="1">
        <v>43630</v>
      </c>
    </row>
    <row r="180" spans="1:12" x14ac:dyDescent="0.3">
      <c r="A180">
        <v>1900005789</v>
      </c>
      <c r="B180" s="1">
        <v>43827</v>
      </c>
      <c r="C180" t="s">
        <v>21</v>
      </c>
      <c r="D180" t="s">
        <v>16</v>
      </c>
      <c r="E180" t="s">
        <v>22</v>
      </c>
      <c r="F180">
        <v>4</v>
      </c>
      <c r="G180" t="s">
        <v>23</v>
      </c>
      <c r="H180" t="s">
        <v>24</v>
      </c>
      <c r="I180">
        <v>3330</v>
      </c>
      <c r="J180" t="s">
        <v>305</v>
      </c>
      <c r="K180" t="s">
        <v>306</v>
      </c>
      <c r="L180" s="1">
        <v>43729</v>
      </c>
    </row>
    <row r="181" spans="1:12" x14ac:dyDescent="0.3">
      <c r="A181">
        <v>1900005910</v>
      </c>
      <c r="B181" s="1">
        <v>43830</v>
      </c>
      <c r="C181" t="s">
        <v>21</v>
      </c>
      <c r="D181" t="s">
        <v>16</v>
      </c>
      <c r="E181" t="s">
        <v>55</v>
      </c>
      <c r="F181">
        <v>2</v>
      </c>
      <c r="G181" t="s">
        <v>52</v>
      </c>
      <c r="H181" t="s">
        <v>29</v>
      </c>
      <c r="I181">
        <v>90282</v>
      </c>
      <c r="J181" t="s">
        <v>307</v>
      </c>
      <c r="K181" t="s">
        <v>308</v>
      </c>
      <c r="L181" s="1">
        <v>43523</v>
      </c>
    </row>
    <row r="182" spans="1:12" x14ac:dyDescent="0.3">
      <c r="A182">
        <v>1900005911</v>
      </c>
      <c r="B182" s="1">
        <v>43830</v>
      </c>
      <c r="C182" t="s">
        <v>21</v>
      </c>
      <c r="D182" t="s">
        <v>16</v>
      </c>
      <c r="E182" t="s">
        <v>55</v>
      </c>
      <c r="F182">
        <v>13</v>
      </c>
      <c r="G182" t="s">
        <v>45</v>
      </c>
      <c r="H182" t="s">
        <v>29</v>
      </c>
      <c r="I182">
        <v>68639</v>
      </c>
      <c r="J182" t="s">
        <v>309</v>
      </c>
      <c r="K182" t="s">
        <v>258</v>
      </c>
      <c r="L182" s="1">
        <v>43599</v>
      </c>
    </row>
    <row r="183" spans="1:12" x14ac:dyDescent="0.3">
      <c r="A183">
        <v>1900005912</v>
      </c>
      <c r="B183" s="1">
        <v>43830</v>
      </c>
      <c r="C183" t="s">
        <v>21</v>
      </c>
      <c r="D183" t="s">
        <v>16</v>
      </c>
      <c r="E183" t="s">
        <v>55</v>
      </c>
      <c r="F183">
        <v>2</v>
      </c>
      <c r="G183" t="s">
        <v>52</v>
      </c>
      <c r="H183" t="s">
        <v>29</v>
      </c>
      <c r="I183">
        <v>90282</v>
      </c>
      <c r="J183" t="s">
        <v>310</v>
      </c>
      <c r="K183" t="s">
        <v>308</v>
      </c>
      <c r="L183" s="1">
        <v>43704</v>
      </c>
    </row>
    <row r="184" spans="1:12" x14ac:dyDescent="0.3">
      <c r="A184">
        <v>1900005913</v>
      </c>
      <c r="B184" s="1">
        <v>43830</v>
      </c>
      <c r="C184" t="s">
        <v>21</v>
      </c>
      <c r="D184" t="s">
        <v>16</v>
      </c>
      <c r="E184" t="s">
        <v>55</v>
      </c>
      <c r="F184">
        <v>2</v>
      </c>
      <c r="G184" t="s">
        <v>52</v>
      </c>
      <c r="H184" t="s">
        <v>29</v>
      </c>
      <c r="I184">
        <v>90282</v>
      </c>
      <c r="J184" t="s">
        <v>311</v>
      </c>
      <c r="K184" t="s">
        <v>308</v>
      </c>
      <c r="L184" s="1">
        <v>43612</v>
      </c>
    </row>
    <row r="185" spans="1:12" x14ac:dyDescent="0.3">
      <c r="A185">
        <v>1900005915</v>
      </c>
      <c r="B185" s="1">
        <v>43830</v>
      </c>
      <c r="C185" t="s">
        <v>21</v>
      </c>
      <c r="D185" t="s">
        <v>16</v>
      </c>
      <c r="E185" t="s">
        <v>55</v>
      </c>
      <c r="F185">
        <v>13</v>
      </c>
      <c r="G185" t="s">
        <v>45</v>
      </c>
      <c r="H185" t="s">
        <v>29</v>
      </c>
      <c r="I185">
        <v>67102</v>
      </c>
      <c r="J185" t="s">
        <v>312</v>
      </c>
      <c r="K185" t="s">
        <v>313</v>
      </c>
      <c r="L185" s="1">
        <v>43551</v>
      </c>
    </row>
    <row r="186" spans="1:12" x14ac:dyDescent="0.3">
      <c r="A186">
        <v>1900005959</v>
      </c>
      <c r="B186" s="1">
        <v>43830</v>
      </c>
      <c r="C186" t="s">
        <v>21</v>
      </c>
      <c r="D186" t="s">
        <v>16</v>
      </c>
      <c r="E186" t="s">
        <v>17</v>
      </c>
      <c r="F186">
        <v>13</v>
      </c>
      <c r="G186" t="s">
        <v>45</v>
      </c>
      <c r="H186" t="s">
        <v>24</v>
      </c>
      <c r="I186">
        <v>125000</v>
      </c>
      <c r="J186" t="s">
        <v>314</v>
      </c>
      <c r="K186" t="s">
        <v>315</v>
      </c>
      <c r="L186" s="1">
        <v>43496</v>
      </c>
    </row>
    <row r="187" spans="1:12" x14ac:dyDescent="0.3">
      <c r="A187">
        <v>1900005960</v>
      </c>
      <c r="B187" s="1">
        <v>43830</v>
      </c>
      <c r="C187" t="s">
        <v>21</v>
      </c>
      <c r="D187" t="s">
        <v>16</v>
      </c>
      <c r="E187" t="s">
        <v>108</v>
      </c>
      <c r="F187">
        <v>1</v>
      </c>
      <c r="G187" t="s">
        <v>28</v>
      </c>
      <c r="H187" t="s">
        <v>24</v>
      </c>
      <c r="I187">
        <v>115781</v>
      </c>
      <c r="J187" t="s">
        <v>316</v>
      </c>
      <c r="K187" t="s">
        <v>317</v>
      </c>
      <c r="L187" s="1">
        <v>43674</v>
      </c>
    </row>
    <row r="188" spans="1:12" x14ac:dyDescent="0.3">
      <c r="A188">
        <v>1900005961</v>
      </c>
      <c r="B188" s="1">
        <v>43830</v>
      </c>
      <c r="C188" t="s">
        <v>21</v>
      </c>
      <c r="D188" t="s">
        <v>16</v>
      </c>
      <c r="E188" t="s">
        <v>17</v>
      </c>
      <c r="F188">
        <v>13</v>
      </c>
      <c r="G188" t="s">
        <v>45</v>
      </c>
      <c r="H188" t="s">
        <v>24</v>
      </c>
      <c r="I188">
        <v>137500</v>
      </c>
      <c r="J188" t="s">
        <v>318</v>
      </c>
      <c r="K188" t="s">
        <v>319</v>
      </c>
      <c r="L188" s="1">
        <v>43466</v>
      </c>
    </row>
    <row r="189" spans="1:12" x14ac:dyDescent="0.3">
      <c r="A189">
        <v>1900005962</v>
      </c>
      <c r="B189" s="1">
        <v>43830</v>
      </c>
      <c r="C189" t="s">
        <v>21</v>
      </c>
      <c r="D189" t="s">
        <v>16</v>
      </c>
      <c r="E189" t="s">
        <v>55</v>
      </c>
      <c r="F189">
        <v>2</v>
      </c>
      <c r="G189" t="s">
        <v>52</v>
      </c>
      <c r="H189" t="s">
        <v>29</v>
      </c>
      <c r="I189">
        <v>208093</v>
      </c>
      <c r="J189" t="s">
        <v>320</v>
      </c>
      <c r="K189" t="s">
        <v>271</v>
      </c>
      <c r="L189" s="1">
        <v>43549</v>
      </c>
    </row>
    <row r="190" spans="1:12" x14ac:dyDescent="0.3">
      <c r="A190">
        <v>1900005964</v>
      </c>
      <c r="B190" s="1">
        <v>43830</v>
      </c>
      <c r="C190" t="s">
        <v>21</v>
      </c>
      <c r="D190" t="s">
        <v>16</v>
      </c>
      <c r="E190" t="s">
        <v>55</v>
      </c>
      <c r="F190">
        <v>2</v>
      </c>
      <c r="G190" t="s">
        <v>52</v>
      </c>
      <c r="H190" t="s">
        <v>29</v>
      </c>
      <c r="I190">
        <v>153332</v>
      </c>
      <c r="J190" t="s">
        <v>321</v>
      </c>
      <c r="K190" t="s">
        <v>271</v>
      </c>
      <c r="L190" s="1">
        <v>43653</v>
      </c>
    </row>
    <row r="191" spans="1:12" x14ac:dyDescent="0.3">
      <c r="A191">
        <v>1900005965</v>
      </c>
      <c r="B191" s="1">
        <v>43830</v>
      </c>
      <c r="C191" t="s">
        <v>21</v>
      </c>
      <c r="D191" t="s">
        <v>16</v>
      </c>
      <c r="E191" t="s">
        <v>17</v>
      </c>
      <c r="F191">
        <v>13</v>
      </c>
      <c r="G191" t="s">
        <v>45</v>
      </c>
      <c r="H191" t="s">
        <v>24</v>
      </c>
      <c r="I191">
        <v>131250</v>
      </c>
      <c r="J191" t="s">
        <v>322</v>
      </c>
      <c r="K191" t="s">
        <v>323</v>
      </c>
      <c r="L191" s="1">
        <v>43608</v>
      </c>
    </row>
    <row r="192" spans="1:12" x14ac:dyDescent="0.3">
      <c r="A192">
        <v>2000001072</v>
      </c>
      <c r="B192" s="1">
        <v>43833</v>
      </c>
      <c r="C192" t="s">
        <v>21</v>
      </c>
      <c r="D192" t="s">
        <v>16</v>
      </c>
      <c r="E192" t="s">
        <v>67</v>
      </c>
      <c r="F192">
        <v>5</v>
      </c>
      <c r="G192" t="s">
        <v>35</v>
      </c>
      <c r="H192" t="s">
        <v>24</v>
      </c>
      <c r="I192">
        <v>56100</v>
      </c>
      <c r="J192" t="s">
        <v>324</v>
      </c>
      <c r="K192">
        <v>2.4142025629033999E+18</v>
      </c>
      <c r="L192" s="1">
        <v>43532</v>
      </c>
    </row>
    <row r="193" spans="1:12" x14ac:dyDescent="0.3">
      <c r="A193">
        <v>2000001076</v>
      </c>
      <c r="B193" s="1">
        <v>43833</v>
      </c>
      <c r="C193" t="s">
        <v>21</v>
      </c>
      <c r="D193" t="s">
        <v>16</v>
      </c>
      <c r="E193" t="s">
        <v>67</v>
      </c>
      <c r="F193">
        <v>13</v>
      </c>
      <c r="G193" t="s">
        <v>45</v>
      </c>
      <c r="H193" t="s">
        <v>24</v>
      </c>
      <c r="I193">
        <v>50333</v>
      </c>
      <c r="J193" t="s">
        <v>325</v>
      </c>
      <c r="K193" t="s">
        <v>326</v>
      </c>
      <c r="L193" s="1">
        <v>43525</v>
      </c>
    </row>
    <row r="194" spans="1:12" x14ac:dyDescent="0.3">
      <c r="A194">
        <v>2000001082</v>
      </c>
      <c r="B194" s="1">
        <v>43833</v>
      </c>
      <c r="C194" t="s">
        <v>21</v>
      </c>
      <c r="D194" t="s">
        <v>16</v>
      </c>
      <c r="E194" t="s">
        <v>17</v>
      </c>
      <c r="F194">
        <v>13</v>
      </c>
      <c r="G194" t="s">
        <v>45</v>
      </c>
      <c r="H194" t="s">
        <v>24</v>
      </c>
      <c r="I194">
        <v>74250</v>
      </c>
      <c r="J194" t="s">
        <v>327</v>
      </c>
      <c r="K194">
        <v>41046110</v>
      </c>
      <c r="L194" s="1">
        <v>43564</v>
      </c>
    </row>
    <row r="195" spans="1:12" x14ac:dyDescent="0.3">
      <c r="A195">
        <v>2000001083</v>
      </c>
      <c r="B195" s="1">
        <v>43833</v>
      </c>
      <c r="C195" t="s">
        <v>21</v>
      </c>
      <c r="D195" t="s">
        <v>16</v>
      </c>
      <c r="E195" t="s">
        <v>34</v>
      </c>
      <c r="F195">
        <v>5</v>
      </c>
      <c r="G195" t="s">
        <v>35</v>
      </c>
      <c r="H195" t="s">
        <v>24</v>
      </c>
      <c r="I195">
        <v>48929</v>
      </c>
      <c r="J195" t="s">
        <v>328</v>
      </c>
      <c r="K195" t="s">
        <v>329</v>
      </c>
      <c r="L195" s="1">
        <v>43779</v>
      </c>
    </row>
    <row r="196" spans="1:12" x14ac:dyDescent="0.3">
      <c r="A196">
        <v>2000001086</v>
      </c>
      <c r="B196" s="1">
        <v>43833</v>
      </c>
      <c r="C196" t="s">
        <v>21</v>
      </c>
      <c r="D196" t="s">
        <v>16</v>
      </c>
      <c r="E196" t="s">
        <v>22</v>
      </c>
      <c r="F196">
        <v>1</v>
      </c>
      <c r="G196" t="s">
        <v>28</v>
      </c>
      <c r="H196" t="s">
        <v>29</v>
      </c>
      <c r="I196">
        <v>49401</v>
      </c>
      <c r="J196" t="s">
        <v>330</v>
      </c>
      <c r="K196">
        <v>1.11200441808E+19</v>
      </c>
      <c r="L196" s="1">
        <v>43468</v>
      </c>
    </row>
    <row r="197" spans="1:12" x14ac:dyDescent="0.3">
      <c r="A197">
        <v>2000001563</v>
      </c>
      <c r="B197" s="1">
        <v>43846</v>
      </c>
      <c r="C197" t="s">
        <v>21</v>
      </c>
      <c r="D197" t="s">
        <v>16</v>
      </c>
      <c r="E197" t="s">
        <v>67</v>
      </c>
      <c r="F197">
        <v>5</v>
      </c>
      <c r="G197" t="s">
        <v>35</v>
      </c>
      <c r="H197" t="s">
        <v>19</v>
      </c>
      <c r="I197">
        <v>9075</v>
      </c>
      <c r="J197" t="s">
        <v>331</v>
      </c>
      <c r="K197" t="s">
        <v>332</v>
      </c>
      <c r="L197" s="1">
        <v>43477</v>
      </c>
    </row>
    <row r="198" spans="1:12" x14ac:dyDescent="0.3">
      <c r="A198">
        <v>2000001567</v>
      </c>
      <c r="B198" s="1">
        <v>43846</v>
      </c>
      <c r="C198" t="s">
        <v>21</v>
      </c>
      <c r="D198" t="s">
        <v>16</v>
      </c>
      <c r="E198" t="s">
        <v>55</v>
      </c>
      <c r="F198">
        <v>13</v>
      </c>
      <c r="G198" t="s">
        <v>45</v>
      </c>
      <c r="H198" t="s">
        <v>29</v>
      </c>
      <c r="I198">
        <v>24072</v>
      </c>
      <c r="J198" t="s">
        <v>333</v>
      </c>
      <c r="K198" t="s">
        <v>334</v>
      </c>
      <c r="L198" s="1">
        <v>43537</v>
      </c>
    </row>
    <row r="199" spans="1:12" x14ac:dyDescent="0.3">
      <c r="A199">
        <v>2000001570</v>
      </c>
      <c r="B199" s="1">
        <v>43846</v>
      </c>
      <c r="C199" t="s">
        <v>21</v>
      </c>
      <c r="D199" t="s">
        <v>16</v>
      </c>
      <c r="E199" t="s">
        <v>34</v>
      </c>
      <c r="F199">
        <v>6</v>
      </c>
      <c r="G199" t="s">
        <v>42</v>
      </c>
      <c r="H199" t="s">
        <v>24</v>
      </c>
      <c r="I199">
        <v>5550</v>
      </c>
      <c r="J199" t="s">
        <v>335</v>
      </c>
      <c r="K199" t="s">
        <v>336</v>
      </c>
      <c r="L199" s="1">
        <v>43469</v>
      </c>
    </row>
    <row r="200" spans="1:12" x14ac:dyDescent="0.3">
      <c r="A200">
        <v>2000001575</v>
      </c>
      <c r="B200" s="1">
        <v>43846</v>
      </c>
      <c r="C200" t="s">
        <v>21</v>
      </c>
      <c r="D200" t="s">
        <v>16</v>
      </c>
      <c r="E200" t="s">
        <v>114</v>
      </c>
      <c r="F200">
        <v>13</v>
      </c>
      <c r="G200" t="s">
        <v>45</v>
      </c>
      <c r="H200" t="s">
        <v>29</v>
      </c>
      <c r="I200">
        <v>10938</v>
      </c>
      <c r="J200" t="s">
        <v>337</v>
      </c>
      <c r="K200" t="s">
        <v>338</v>
      </c>
      <c r="L200" s="1">
        <v>43628</v>
      </c>
    </row>
    <row r="201" spans="1:12" x14ac:dyDescent="0.3">
      <c r="A201">
        <v>2000001579</v>
      </c>
      <c r="B201" s="1">
        <v>43846</v>
      </c>
      <c r="C201" t="s">
        <v>21</v>
      </c>
      <c r="D201" t="s">
        <v>16</v>
      </c>
      <c r="E201" t="s">
        <v>339</v>
      </c>
      <c r="F201">
        <v>3</v>
      </c>
      <c r="G201" t="s">
        <v>56</v>
      </c>
      <c r="H201" t="s">
        <v>29</v>
      </c>
      <c r="I201">
        <v>2789</v>
      </c>
      <c r="J201" t="s">
        <v>340</v>
      </c>
      <c r="K201">
        <v>2280038722</v>
      </c>
      <c r="L201" s="1">
        <v>43661</v>
      </c>
    </row>
    <row r="202" spans="1:12" x14ac:dyDescent="0.3">
      <c r="A202">
        <v>2000001583</v>
      </c>
      <c r="B202" s="1">
        <v>43846</v>
      </c>
      <c r="C202" t="s">
        <v>21</v>
      </c>
      <c r="D202" t="s">
        <v>16</v>
      </c>
      <c r="E202" t="s">
        <v>67</v>
      </c>
      <c r="F202">
        <v>5</v>
      </c>
      <c r="G202" t="s">
        <v>35</v>
      </c>
      <c r="H202" t="s">
        <v>24</v>
      </c>
      <c r="I202">
        <v>14025</v>
      </c>
      <c r="J202" t="s">
        <v>341</v>
      </c>
      <c r="K202">
        <v>2.4142025629033999E+18</v>
      </c>
      <c r="L202" s="1">
        <v>43760</v>
      </c>
    </row>
    <row r="203" spans="1:12" x14ac:dyDescent="0.3">
      <c r="A203">
        <v>2000001589</v>
      </c>
      <c r="B203" s="1">
        <v>43846</v>
      </c>
      <c r="C203" t="s">
        <v>21</v>
      </c>
      <c r="D203" t="s">
        <v>16</v>
      </c>
      <c r="E203" t="s">
        <v>22</v>
      </c>
      <c r="F203">
        <v>4</v>
      </c>
      <c r="G203" t="s">
        <v>23</v>
      </c>
      <c r="H203" t="s">
        <v>24</v>
      </c>
      <c r="I203">
        <v>1112</v>
      </c>
      <c r="J203" t="s">
        <v>342</v>
      </c>
      <c r="K203" t="s">
        <v>343</v>
      </c>
      <c r="L203" s="1">
        <v>43488</v>
      </c>
    </row>
    <row r="204" spans="1:12" x14ac:dyDescent="0.3">
      <c r="A204">
        <v>2000001598</v>
      </c>
      <c r="B204" s="1">
        <v>43846</v>
      </c>
      <c r="C204" t="s">
        <v>21</v>
      </c>
      <c r="D204" t="s">
        <v>16</v>
      </c>
      <c r="E204" t="s">
        <v>34</v>
      </c>
      <c r="F204">
        <v>6</v>
      </c>
      <c r="G204" t="s">
        <v>42</v>
      </c>
      <c r="H204" t="s">
        <v>24</v>
      </c>
      <c r="I204">
        <v>4302</v>
      </c>
      <c r="J204" t="s">
        <v>344</v>
      </c>
      <c r="K204">
        <v>2.9992015408021002E+18</v>
      </c>
      <c r="L204" s="1">
        <v>43770</v>
      </c>
    </row>
    <row r="205" spans="1:12" x14ac:dyDescent="0.3">
      <c r="A205">
        <v>2000001604</v>
      </c>
      <c r="B205" s="1">
        <v>43846</v>
      </c>
      <c r="C205" t="s">
        <v>21</v>
      </c>
      <c r="D205" t="s">
        <v>16</v>
      </c>
      <c r="E205" t="s">
        <v>17</v>
      </c>
      <c r="F205">
        <v>13</v>
      </c>
      <c r="G205" t="s">
        <v>45</v>
      </c>
      <c r="H205" t="s">
        <v>29</v>
      </c>
      <c r="I205">
        <v>21875</v>
      </c>
      <c r="J205" t="s">
        <v>345</v>
      </c>
      <c r="K205" t="s">
        <v>346</v>
      </c>
      <c r="L205" s="1">
        <v>43507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8445C3-7EDF-4034-91A3-D9F5AB8DBE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invoice_202001231041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hari sh</cp:lastModifiedBy>
  <dcterms:created xsi:type="dcterms:W3CDTF">2015-06-05T18:17:20Z</dcterms:created>
  <dcterms:modified xsi:type="dcterms:W3CDTF">2025-03-10T10:24:42Z</dcterms:modified>
</cp:coreProperties>
</file>